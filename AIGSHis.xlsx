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 2026" sheetId="1" r:id="rId5"/>
    <sheet state="visible" name="February 2026" sheetId="2" r:id="rId6"/>
    <sheet state="visible" name="Maret 2026" sheetId="3" r:id="rId7"/>
    <sheet state="visible" name="April 2026" sheetId="4" r:id="rId8"/>
    <sheet state="visible" name="Mei 2026" sheetId="5" r:id="rId9"/>
    <sheet state="visible" name="Juni 2026" sheetId="6" r:id="rId10"/>
    <sheet state="visible" name="July 2027" sheetId="7" r:id="rId11"/>
    <sheet state="visible" name="Agustus 2027" sheetId="8" r:id="rId12"/>
    <sheet state="visible" name="Employee Data 2026" sheetId="9" r:id="rId13"/>
    <sheet state="visible" name="Employee PO" sheetId="10" r:id="rId14"/>
    <sheet state="visible" name="Iseng Permata" sheetId="11" r:id="rId15"/>
    <sheet state="visible" name="Backup Emp Data Jul 26" sheetId="12" r:id="rId16"/>
    <sheet state="visible" name="Backup Employee Data" sheetId="13" r:id="rId17"/>
  </sheets>
  <definedNames>
    <definedName hidden="1" localSheetId="8" name="_xlnm._FilterDatabase">'Employee Data 2026'!$A$1:$V$980</definedName>
    <definedName hidden="1" localSheetId="9" name="_xlnm._FilterDatabase">'Employee PO'!$A$1:$G$62</definedName>
    <definedName hidden="1" localSheetId="10" name="_xlnm._FilterDatabase">'Iseng Permata'!$A$1:$U$59</definedName>
    <definedName hidden="1" localSheetId="11" name="_xlnm._FilterDatabase">'Backup Emp Data Jul 26'!$A$1:$U$76</definedName>
    <definedName hidden="1" localSheetId="12" name="_xlnm._FilterDatabase">'Backup Employee Data'!$A$1:$D$70</definedName>
  </definedNames>
  <calcPr/>
</workbook>
</file>

<file path=xl/sharedStrings.xml><?xml version="1.0" encoding="utf-8"?>
<sst xmlns="http://schemas.openxmlformats.org/spreadsheetml/2006/main" count="4526" uniqueCount="497">
  <si>
    <t>No</t>
  </si>
  <si>
    <t>Nama</t>
  </si>
  <si>
    <t>Group</t>
  </si>
  <si>
    <t>Role</t>
  </si>
  <si>
    <t>MSA Group</t>
  </si>
  <si>
    <t>PO</t>
  </si>
  <si>
    <t>Project</t>
  </si>
  <si>
    <t>MS Resource</t>
  </si>
  <si>
    <t>Akhmad Aeluddin</t>
  </si>
  <si>
    <t>Notes</t>
  </si>
  <si>
    <t>AIGEN</t>
  </si>
  <si>
    <t>Junior Programmer</t>
  </si>
  <si>
    <t>MSA Programmer &amp; System Analyst</t>
  </si>
  <si>
    <t>Bank BSI</t>
  </si>
  <si>
    <t>Habibatul Jalilah</t>
  </si>
  <si>
    <t>GS</t>
  </si>
  <si>
    <t>Senior Programmer</t>
  </si>
  <si>
    <t>Hi Bank</t>
  </si>
  <si>
    <t>Khosy Akmal Romadlan</t>
  </si>
  <si>
    <t>Middle Programmer</t>
  </si>
  <si>
    <t>Bank BRI</t>
  </si>
  <si>
    <t>6 Maret Terminate</t>
  </si>
  <si>
    <t>Raindeca Dzulikrom</t>
  </si>
  <si>
    <t>Bank Mandiri</t>
  </si>
  <si>
    <t>Refaldi Ergian</t>
  </si>
  <si>
    <t>Middle Backend Engineer</t>
  </si>
  <si>
    <t>MSA Digital Banking</t>
  </si>
  <si>
    <t>Telkomsel</t>
  </si>
  <si>
    <t>Shiddiq Asy Syuhada</t>
  </si>
  <si>
    <t>Bank Mandiri Taspen</t>
  </si>
  <si>
    <t>Plan BDKI</t>
  </si>
  <si>
    <t>Sukma Aspriliyawan</t>
  </si>
  <si>
    <t>Junior Software Developer</t>
  </si>
  <si>
    <t>MSA Webmethods Software Developer</t>
  </si>
  <si>
    <t>MII Team (Bank BTN)</t>
  </si>
  <si>
    <t>Taufiq Rorkyendo</t>
  </si>
  <si>
    <t>31 April</t>
  </si>
  <si>
    <t>Plan BDKI / MANTAP</t>
  </si>
  <si>
    <t>MII Team (Bank Indonesia)</t>
  </si>
  <si>
    <t>Yudo Witnu Praseyo</t>
  </si>
  <si>
    <t xml:space="preserve">MII Team (Bank Indonesia OCP) </t>
  </si>
  <si>
    <t>31 September</t>
  </si>
  <si>
    <t>M Fadjar Aidil H P</t>
  </si>
  <si>
    <t xml:space="preserve">MII Team (Bank Permata) </t>
  </si>
  <si>
    <t>Total</t>
  </si>
  <si>
    <t>M Jouzu</t>
  </si>
  <si>
    <t>Total Resource</t>
  </si>
  <si>
    <t>January Resign</t>
  </si>
  <si>
    <t xml:space="preserve">MII Team (Bank DKI Vello) </t>
  </si>
  <si>
    <t xml:space="preserve">MII Team (Bank DKI Corporate Web) </t>
  </si>
  <si>
    <t>2 APM , 2 WebMethods</t>
  </si>
  <si>
    <t>Raqil Aria Dewanto</t>
  </si>
  <si>
    <t>Security Engineer</t>
  </si>
  <si>
    <t>MII Team (Bank Permata)</t>
  </si>
  <si>
    <t>25.000.000</t>
  </si>
  <si>
    <t xml:space="preserve">MII Team (Bank DKI) </t>
  </si>
  <si>
    <t>Deki Tri Rizmawan</t>
  </si>
  <si>
    <t>Asep Supriyadi</t>
  </si>
  <si>
    <t>Abrio Johan Leodrian</t>
  </si>
  <si>
    <t>Security Engineer Lead</t>
  </si>
  <si>
    <t>Arrumaisha Ruhama Nafisah</t>
  </si>
  <si>
    <t>Nor Alip</t>
  </si>
  <si>
    <t>Chandra Farizka</t>
  </si>
  <si>
    <t>7 Mei 2026 Out</t>
  </si>
  <si>
    <t>Yoga Ajiputro Sapakoly</t>
  </si>
  <si>
    <t>Agma Setiawan</t>
  </si>
  <si>
    <t>Sukma Wijaya</t>
  </si>
  <si>
    <t>Faudzan Adim</t>
  </si>
  <si>
    <t>Faried Abimanyu Bhakti</t>
  </si>
  <si>
    <t>Fatma Rahmaati</t>
  </si>
  <si>
    <t>20 Maret Join</t>
  </si>
  <si>
    <t>Aldy Suryanto</t>
  </si>
  <si>
    <t xml:space="preserve">Support </t>
  </si>
  <si>
    <t>Mii Team (Bank Indonesia)</t>
  </si>
  <si>
    <t>11 Patch Engineer , 1 Kordinator</t>
  </si>
  <si>
    <t>Rizki Maulana Rajabi</t>
  </si>
  <si>
    <t>Ahri Maulana</t>
  </si>
  <si>
    <t>Mii Team (Bank Indonesia) JBOSS</t>
  </si>
  <si>
    <t>Ferdy Lasuf Baehaqie</t>
  </si>
  <si>
    <t>Mii Team (Bank Indonesia) APIM</t>
  </si>
  <si>
    <t>Rajesh Rivalda</t>
  </si>
  <si>
    <t>Support</t>
  </si>
  <si>
    <t>Mii Team (Bank BTN)</t>
  </si>
  <si>
    <t>Henri Prasetyo</t>
  </si>
  <si>
    <t xml:space="preserve">Bank Indonesia OCP </t>
  </si>
  <si>
    <t>Imron Rosadi</t>
  </si>
  <si>
    <t>2 JBoss, 2 APIM, 2 Monitor OCP</t>
  </si>
  <si>
    <t>Tahir Shadaqat Ahmad</t>
  </si>
  <si>
    <t>webMethods Developer HiBank</t>
  </si>
  <si>
    <t>Widianingrum</t>
  </si>
  <si>
    <t>Middle QA Tester/ Engineer</t>
  </si>
  <si>
    <t>Middle QA Tester/ Engineer HiBank</t>
  </si>
  <si>
    <t>Yuniar Fitria Hendraw</t>
  </si>
  <si>
    <t>29 Mei 2026</t>
  </si>
  <si>
    <t>Sofwan Abdillah</t>
  </si>
  <si>
    <t>Denta Zamzam Yasin Muhajir</t>
  </si>
  <si>
    <t>Middle Backend Engineer HiBank</t>
  </si>
  <si>
    <t>Dody Putra</t>
  </si>
  <si>
    <t>Muh Gusti Ramadhan</t>
  </si>
  <si>
    <t>Juni 2026</t>
  </si>
  <si>
    <t>Daniel Dananto</t>
  </si>
  <si>
    <t>Chacge Management HiBank</t>
  </si>
  <si>
    <t>Telkomsel, 24 Apr Out</t>
  </si>
  <si>
    <t>ext 1 month</t>
  </si>
  <si>
    <t>Senior Change Management</t>
  </si>
  <si>
    <t>24 Apr Last Day</t>
  </si>
  <si>
    <t>1 Golang, 1 Webmethods, 5 QA</t>
  </si>
  <si>
    <t>Danu Prasetyo</t>
  </si>
  <si>
    <t>Dammar Ramandita</t>
  </si>
  <si>
    <t>Ansible Support / IaC</t>
  </si>
  <si>
    <t>Alif Athallah</t>
  </si>
  <si>
    <t>Python Developer</t>
  </si>
  <si>
    <t>Rifky Ridha</t>
  </si>
  <si>
    <t>Python / Go Developer</t>
  </si>
  <si>
    <t>Ansible Support</t>
  </si>
  <si>
    <t xml:space="preserve">probability extend </t>
  </si>
  <si>
    <t>Dominikus Andrean</t>
  </si>
  <si>
    <t>QA</t>
  </si>
  <si>
    <t>9 Feb Terminate</t>
  </si>
  <si>
    <t>Satria Pandega</t>
  </si>
  <si>
    <t>Ida Ayu Prima Utami Anissa Wijayanti</t>
  </si>
  <si>
    <t>Dwi Candra Maulana</t>
  </si>
  <si>
    <t>Alif Wisesa M</t>
  </si>
  <si>
    <t>24 Apr Out</t>
  </si>
  <si>
    <t>glenn</t>
  </si>
  <si>
    <t>Ivan Habibi</t>
  </si>
  <si>
    <t>Senior DevOps</t>
  </si>
  <si>
    <t>3 Developer , 4 QA</t>
  </si>
  <si>
    <t>Teffa A G</t>
  </si>
  <si>
    <t>Zhiddan P</t>
  </si>
  <si>
    <t>Faathir M</t>
  </si>
  <si>
    <t>Middle DevOps</t>
  </si>
  <si>
    <t>Pandu W</t>
  </si>
  <si>
    <t>Tefa A G</t>
  </si>
  <si>
    <t>26 Jan Resign</t>
  </si>
  <si>
    <t>Sutrisno</t>
  </si>
  <si>
    <t>Saiful Wardi Lubis</t>
  </si>
  <si>
    <t>Middle Backend Developer</t>
  </si>
  <si>
    <t>Falyan Zuril</t>
  </si>
  <si>
    <t>26 Feb Join</t>
  </si>
  <si>
    <t>17 Jun Out</t>
  </si>
  <si>
    <t>Mahardhika H P</t>
  </si>
  <si>
    <t>Middle UI/UX Designer</t>
  </si>
  <si>
    <t>23 February Join</t>
  </si>
  <si>
    <t>Sampai Agustus</t>
  </si>
  <si>
    <t>Tito Iswanto</t>
  </si>
  <si>
    <t>Middle Project Manager</t>
  </si>
  <si>
    <t>Bank Jakarta Vello</t>
  </si>
  <si>
    <t>3 Maret Join</t>
  </si>
  <si>
    <t>Fadillah Arifky</t>
  </si>
  <si>
    <t>Senior Fullstack Developer</t>
  </si>
  <si>
    <t>1 April Join</t>
  </si>
  <si>
    <t xml:space="preserve">Kahfi Kurnia Aji </t>
  </si>
  <si>
    <t>Java BE (Middle Senior)</t>
  </si>
  <si>
    <t>Bank Jakarta Corporate</t>
  </si>
  <si>
    <t>13 April Join</t>
  </si>
  <si>
    <t>Muhammad Daffa Arviano Putra</t>
  </si>
  <si>
    <t>Java BE (Senior)</t>
  </si>
  <si>
    <t>6 April Join</t>
  </si>
  <si>
    <t>Mohammad Radja Alyfa Amri</t>
  </si>
  <si>
    <t>FE Developer (Senior)</t>
  </si>
  <si>
    <t xml:space="preserve">Hansel Tonna </t>
  </si>
  <si>
    <t>UI/UX Designer (Middle)</t>
  </si>
  <si>
    <t>Putra Aditama</t>
  </si>
  <si>
    <t>Ersa Andhini</t>
  </si>
  <si>
    <t>Scrum Master</t>
  </si>
  <si>
    <t>Nurullah</t>
  </si>
  <si>
    <t>8 April Join</t>
  </si>
  <si>
    <t>Khairul Pandunata</t>
  </si>
  <si>
    <t>Business Analyst (Middle)</t>
  </si>
  <si>
    <t>Duwi Sulistianingsih</t>
  </si>
  <si>
    <t xml:space="preserve">MII Team (Bank Permat Nessus) </t>
  </si>
  <si>
    <t>9 Juni Out</t>
  </si>
  <si>
    <t>20 April Join</t>
  </si>
  <si>
    <t>Moses Tri Xavario</t>
  </si>
  <si>
    <t xml:space="preserve">MII Team (Bank Permata Security) </t>
  </si>
  <si>
    <t>SOC Analyst</t>
  </si>
  <si>
    <t>4 Mei Join</t>
  </si>
  <si>
    <t xml:space="preserve">MII Team (Bank DKI App Migration) </t>
  </si>
  <si>
    <t>2 WebMethods</t>
  </si>
  <si>
    <t>29 Mei 2026 out</t>
  </si>
  <si>
    <t>8 Juni Join</t>
  </si>
  <si>
    <t>25 Mei Out</t>
  </si>
  <si>
    <t>12 Juni In</t>
  </si>
  <si>
    <t>Java Developer</t>
  </si>
  <si>
    <t>Bank Indonesia Pak Naek</t>
  </si>
  <si>
    <t>16 Juni In</t>
  </si>
  <si>
    <t>25 Juni Out</t>
  </si>
  <si>
    <t>30 Juni 2026 Out</t>
  </si>
  <si>
    <t>15 Juni Out</t>
  </si>
  <si>
    <t>11 Mei Out</t>
  </si>
  <si>
    <t>M Januar</t>
  </si>
  <si>
    <t>18 Mei Join</t>
  </si>
  <si>
    <t>Hafizh (TBC)</t>
  </si>
  <si>
    <t>30 Jun Out</t>
  </si>
  <si>
    <t>Della Fitrisia</t>
  </si>
  <si>
    <t>Project manager</t>
  </si>
  <si>
    <t>Bank APP Migration</t>
  </si>
  <si>
    <t>26 Juni</t>
  </si>
  <si>
    <t>Fendy Gunawan (New Hire)</t>
  </si>
  <si>
    <t>Infras , System Engineer</t>
  </si>
  <si>
    <t>25 Juni</t>
  </si>
  <si>
    <t>24 July 2026 Out</t>
  </si>
  <si>
    <t>Sofwan Abdillah (Hibank)</t>
  </si>
  <si>
    <t>QA Analyst</t>
  </si>
  <si>
    <t>Arrico (TBC)</t>
  </si>
  <si>
    <t>1 JULY</t>
  </si>
  <si>
    <t>27 july join</t>
  </si>
  <si>
    <t>Yuniar Fitria (Hibank)</t>
  </si>
  <si>
    <t>Quality Assurance Tester</t>
  </si>
  <si>
    <t>Akmal</t>
  </si>
  <si>
    <t>Dwi Chandra Maulana (BRI) (Lowest extension)</t>
  </si>
  <si>
    <t>Ida Ayu Prima Utami (BRI)</t>
  </si>
  <si>
    <t>Nida</t>
  </si>
  <si>
    <t>Hafizh  Shiba</t>
  </si>
  <si>
    <t>Asep Khairul A</t>
  </si>
  <si>
    <t>Aris M</t>
  </si>
  <si>
    <t>Anval H</t>
  </si>
  <si>
    <t xml:space="preserve">Arrico </t>
  </si>
  <si>
    <t>Bank CIMB</t>
  </si>
  <si>
    <t>18 Augstus in</t>
  </si>
  <si>
    <t>13 Agustus In</t>
  </si>
  <si>
    <t>28 Juni In</t>
  </si>
  <si>
    <t>Faathir M (Mas Ivan)</t>
  </si>
  <si>
    <t>Telkomsel IDP</t>
  </si>
  <si>
    <t>Sutrisno (Ali)</t>
  </si>
  <si>
    <t>Rafli Akbar Audi</t>
  </si>
  <si>
    <t>Telkomsel FOSS</t>
  </si>
  <si>
    <t>Iqbal Pradipta</t>
  </si>
  <si>
    <t>Diky Arief</t>
  </si>
  <si>
    <t>Alfian</t>
  </si>
  <si>
    <t>Solution Architect</t>
  </si>
  <si>
    <t>Athallah Andi</t>
  </si>
  <si>
    <t>Junior DevOps</t>
  </si>
  <si>
    <t>Telkomsel TEM</t>
  </si>
  <si>
    <t>Adam Davarel N</t>
  </si>
  <si>
    <t>Senior Developer</t>
  </si>
  <si>
    <t>Senior Tester</t>
  </si>
  <si>
    <t>Name</t>
  </si>
  <si>
    <t>Customer</t>
  </si>
  <si>
    <t>Job Role</t>
  </si>
  <si>
    <t>Terakhir Increment</t>
  </si>
  <si>
    <t>End Contract</t>
  </si>
  <si>
    <t>Sallary Gross</t>
  </si>
  <si>
    <t>Tunjangan Penempatan</t>
  </si>
  <si>
    <t>Tunjangan Keahlian</t>
  </si>
  <si>
    <t>Total Gross</t>
  </si>
  <si>
    <t>Koefisien</t>
  </si>
  <si>
    <t>Unit Kerja</t>
  </si>
  <si>
    <t>Est COGS</t>
  </si>
  <si>
    <t>Revenue</t>
  </si>
  <si>
    <t>Project Name</t>
  </si>
  <si>
    <t>Revenue Nett</t>
  </si>
  <si>
    <t>Margin</t>
  </si>
  <si>
    <t>Margin %</t>
  </si>
  <si>
    <t>Status</t>
  </si>
  <si>
    <t>New Kontrak Nett Revenue</t>
  </si>
  <si>
    <t>New Margin</t>
  </si>
  <si>
    <t>PO Contract</t>
  </si>
  <si>
    <t>Remarks</t>
  </si>
  <si>
    <t xml:space="preserve">Bank BSI Webmethods </t>
  </si>
  <si>
    <t>Webmethods Developer</t>
  </si>
  <si>
    <t>Yudo Witnu Prasetyo</t>
  </si>
  <si>
    <t>BSI ASP</t>
  </si>
  <si>
    <t>Bank BSI Webmethods</t>
  </si>
  <si>
    <t xml:space="preserve">Junior webMethods </t>
  </si>
  <si>
    <t>Sept 2026</t>
  </si>
  <si>
    <t>1 Sept 2026</t>
  </si>
  <si>
    <t>Bank BSI Digibank</t>
  </si>
  <si>
    <t>31 Apr 2026</t>
  </si>
  <si>
    <t>M Fadjar Aidil Hasyim Purba</t>
  </si>
  <si>
    <t>31 Feb 2026</t>
  </si>
  <si>
    <t>BI</t>
  </si>
  <si>
    <t>APIM BiFast</t>
  </si>
  <si>
    <t>Bank Indonesia MII</t>
  </si>
  <si>
    <t>Februari 2027</t>
  </si>
  <si>
    <t>Henry Prasetyo</t>
  </si>
  <si>
    <t xml:space="preserve">Bank Indonesia </t>
  </si>
  <si>
    <t>Openshift Monitoring</t>
  </si>
  <si>
    <t>BI APIM &amp; JBOSS - MII</t>
  </si>
  <si>
    <t>BI JBOSS - MII</t>
  </si>
  <si>
    <t>Ferdy Lasuf Baehaqie (Bank Indoensia JBOS)</t>
  </si>
  <si>
    <t xml:space="preserve">BI </t>
  </si>
  <si>
    <t xml:space="preserve">Junior Support   </t>
  </si>
  <si>
    <t>Rifki Ridha</t>
  </si>
  <si>
    <t>BRI</t>
  </si>
  <si>
    <t>Bank BRI MII</t>
  </si>
  <si>
    <t>QA Engineer</t>
  </si>
  <si>
    <t xml:space="preserve">Middle Backend Engineer </t>
  </si>
  <si>
    <t>Junior Quality Assurance</t>
  </si>
  <si>
    <t>Alif Athallah M</t>
  </si>
  <si>
    <t>Middle Backend</t>
  </si>
  <si>
    <t>Kartap</t>
  </si>
  <si>
    <t>Sukma Aspriliyawan (PROPOSE)</t>
  </si>
  <si>
    <t>Bank BTN</t>
  </si>
  <si>
    <t>Dynatrace Monitoring BTN - MII</t>
  </si>
  <si>
    <t>Bank BTN MII</t>
  </si>
  <si>
    <t>Bank Jakarta</t>
  </si>
  <si>
    <t>Mobile Vello Bank Jaakarta</t>
  </si>
  <si>
    <t>Project Manager</t>
  </si>
  <si>
    <t>June 2027 | Belum ada PO</t>
  </si>
  <si>
    <t>8,5 + 1,5</t>
  </si>
  <si>
    <t>Senior Fullstack</t>
  </si>
  <si>
    <t xml:space="preserve">Dodi Putra </t>
  </si>
  <si>
    <t>HIBANK</t>
  </si>
  <si>
    <t xml:space="preserve">Hi Bank Integration </t>
  </si>
  <si>
    <t xml:space="preserve">Widianingrum </t>
  </si>
  <si>
    <t xml:space="preserve">Muh Gusti Ramadhan </t>
  </si>
  <si>
    <t xml:space="preserve">Yuniar Fitria Hendrawati </t>
  </si>
  <si>
    <t xml:space="preserve">Denta Zamzam Yasin Muhajir </t>
  </si>
  <si>
    <t>Golang Developer</t>
  </si>
  <si>
    <t>Middle BE Engineer</t>
  </si>
  <si>
    <t>Middle webMethods</t>
  </si>
  <si>
    <t>MANDIRI</t>
  </si>
  <si>
    <t>Junior QA</t>
  </si>
  <si>
    <t>Mandiri Ansible</t>
  </si>
  <si>
    <t>Mahardhika Henry P</t>
  </si>
  <si>
    <t>MANTAP</t>
  </si>
  <si>
    <t>UIUX Designer</t>
  </si>
  <si>
    <t>PERMATA</t>
  </si>
  <si>
    <t>L1 L2 Security Eng Bank Permata - MII</t>
  </si>
  <si>
    <t>Belum ada PO</t>
  </si>
  <si>
    <t>Backend Developer</t>
  </si>
  <si>
    <t>Bank Indonesia APIM</t>
  </si>
  <si>
    <t>500 reimbursement</t>
  </si>
  <si>
    <t>Faried Abimanyu Bhakti Nusantara</t>
  </si>
  <si>
    <t>Ragil Aria Dewanto</t>
  </si>
  <si>
    <t>11 Mei 2026</t>
  </si>
  <si>
    <t>Fatma Rahma</t>
  </si>
  <si>
    <t>Project Koordinator</t>
  </si>
  <si>
    <t>Zhidan P</t>
  </si>
  <si>
    <t>TELKOMSEL</t>
  </si>
  <si>
    <t>DSO</t>
  </si>
  <si>
    <t>500 Reimbursement</t>
  </si>
  <si>
    <t>Tefa Arya G</t>
  </si>
  <si>
    <t>IDP</t>
  </si>
  <si>
    <t>Bank Indonesia BIFAST</t>
  </si>
  <si>
    <t>Saiful Wardi</t>
  </si>
  <si>
    <t>Backend Dev</t>
  </si>
  <si>
    <t>System Engineer</t>
  </si>
  <si>
    <t>Middle Py</t>
  </si>
  <si>
    <t xml:space="preserve">Aldy Suryanto </t>
  </si>
  <si>
    <t>Bank Indonesia JBOSS</t>
  </si>
  <si>
    <t>Monitoring Engineer</t>
  </si>
  <si>
    <t>03 Agt 2027</t>
  </si>
  <si>
    <t>Project Corporate Website</t>
  </si>
  <si>
    <t>Belum ada PO | September 2026</t>
  </si>
  <si>
    <t xml:space="preserve">Mohammad Radja Alyfa Amri </t>
  </si>
  <si>
    <t>ASP</t>
  </si>
  <si>
    <t xml:space="preserve">Ersa Andhini </t>
  </si>
  <si>
    <t>Bank Indonesia OCP</t>
  </si>
  <si>
    <t>Bank Indonesia Openshift Monitoring</t>
  </si>
  <si>
    <t xml:space="preserve">Nurullah </t>
  </si>
  <si>
    <t xml:space="preserve">Khairul Pandunata </t>
  </si>
  <si>
    <t xml:space="preserve">Duwi Sulistianingsih </t>
  </si>
  <si>
    <t xml:space="preserve">Imron Rosadi </t>
  </si>
  <si>
    <t>OCP Monitoring</t>
  </si>
  <si>
    <t>Yuniar Fitria Hendrawati</t>
  </si>
  <si>
    <t>Bank Jakarta (App Migration)</t>
  </si>
  <si>
    <t>Fendi Gunawan</t>
  </si>
  <si>
    <t>Infras Engineer</t>
  </si>
  <si>
    <t>Infrastructure Engineer</t>
  </si>
  <si>
    <t>Exc PPN</t>
  </si>
  <si>
    <t>Daniel D</t>
  </si>
  <si>
    <t>Nida Tedila Y</t>
  </si>
  <si>
    <t>Rizki Maulana Rajabi (PROPOSE)</t>
  </si>
  <si>
    <t>Aldy Suryanto (Propose)</t>
  </si>
  <si>
    <t>Aura Sukma</t>
  </si>
  <si>
    <t>Putri Rizky N</t>
  </si>
  <si>
    <t>Junior Monitoring Engineer</t>
  </si>
  <si>
    <t>16 Juni 2026</t>
  </si>
  <si>
    <t>Akmal Al Haqq</t>
  </si>
  <si>
    <t>Bank Jakarta (Corporat Web)</t>
  </si>
  <si>
    <t xml:space="preserve">Della Fitrisia </t>
  </si>
  <si>
    <t>Middle QA</t>
  </si>
  <si>
    <t>Seharusnya</t>
  </si>
  <si>
    <t>Senior Py</t>
  </si>
  <si>
    <t>Duwi Sulistianingsih - BA (Internal Aigen)</t>
  </si>
  <si>
    <t>Bank Indonesia</t>
  </si>
  <si>
    <t xml:space="preserve">Nurullah - Scrum </t>
  </si>
  <si>
    <t xml:space="preserve">Fadilah Arifki </t>
  </si>
  <si>
    <t>M Januar (Internal Aigen)</t>
  </si>
  <si>
    <t>Bank Jakarta (MB Vello)</t>
  </si>
  <si>
    <t>Bank OCBC</t>
  </si>
  <si>
    <t>Bank Permata</t>
  </si>
  <si>
    <t>NFT</t>
  </si>
  <si>
    <t>Asep Supriyadi L2</t>
  </si>
  <si>
    <t>Fullstack Developer (Senior)</t>
  </si>
  <si>
    <t>Fatma Rahma W</t>
  </si>
  <si>
    <t>Hafizh Shiba</t>
  </si>
  <si>
    <t>Arrico Hardyanto</t>
  </si>
  <si>
    <t xml:space="preserve">Widianingrum (HiBank) </t>
  </si>
  <si>
    <t>L1 Security Eng Bank Permata - MII</t>
  </si>
  <si>
    <t>Imron Rosadi (TBC)</t>
  </si>
  <si>
    <t>GS (TELKOMSEL ITWASUM)</t>
  </si>
  <si>
    <t>Saiful W L</t>
  </si>
  <si>
    <t>Ulfa</t>
  </si>
  <si>
    <t>ITWASUM</t>
  </si>
  <si>
    <t>Anval</t>
  </si>
  <si>
    <t>GS (TELKOMSEL)</t>
  </si>
  <si>
    <t>Rafli</t>
  </si>
  <si>
    <t>Aura Sukma Aulia</t>
  </si>
  <si>
    <t xml:space="preserve">10,3 + 1 </t>
  </si>
  <si>
    <t>GS (MIGRATION APPS)</t>
  </si>
  <si>
    <t>Nida Tedilla</t>
  </si>
  <si>
    <t>Putri Rizki</t>
  </si>
  <si>
    <t>Diky Arif Febriyanto</t>
  </si>
  <si>
    <t>Muhammad Rizky (Kibot)</t>
  </si>
  <si>
    <t>Halal, Otsuka , Itwasum</t>
  </si>
  <si>
    <t>Bondan Rachmat S</t>
  </si>
  <si>
    <t xml:space="preserve">GS </t>
  </si>
  <si>
    <t>Sofwan Abdillah (Propose)</t>
  </si>
  <si>
    <t>L2 Security Eng Bank Permata - MII</t>
  </si>
  <si>
    <t>L2 Security Engineer</t>
  </si>
  <si>
    <t>Muhammad Akmal Al Haqi</t>
  </si>
  <si>
    <t>M Glenn Y</t>
  </si>
  <si>
    <t>Denta Zamzam Yasin Muhajir  (Propose)</t>
  </si>
  <si>
    <t>Adam Davarel Nostradatito</t>
  </si>
  <si>
    <t>INTERNAL</t>
  </si>
  <si>
    <t>Asep Supriyadi L2 (Gapok Naik)</t>
  </si>
  <si>
    <t>Asep Khairul anam</t>
  </si>
  <si>
    <t>Alfian Widitama</t>
  </si>
  <si>
    <t>10,5 + 1 +3,5</t>
  </si>
  <si>
    <t>Aris Munandar</t>
  </si>
  <si>
    <t>Berly</t>
  </si>
  <si>
    <t>Rifki Dharmawan P</t>
  </si>
  <si>
    <t>Adinda S</t>
  </si>
  <si>
    <t xml:space="preserve">Luthfi </t>
  </si>
  <si>
    <t>Adam</t>
  </si>
  <si>
    <t>Iqbal</t>
  </si>
  <si>
    <t>Dicky</t>
  </si>
  <si>
    <t>Luthfy</t>
  </si>
  <si>
    <t>Dodi</t>
  </si>
  <si>
    <t>fatma</t>
  </si>
  <si>
    <t>Yuniar Fitria Hendrawati (HiBank)</t>
  </si>
  <si>
    <t>DKI MIGRATION</t>
  </si>
  <si>
    <t>APP MIGRATION</t>
  </si>
  <si>
    <t>29 Des 2026</t>
  </si>
  <si>
    <t>Naik 9 %, ID Card MII</t>
  </si>
  <si>
    <t>Exclude PPN</t>
  </si>
  <si>
    <t>Dodi Putra (HiBank)</t>
  </si>
  <si>
    <t>Muh Gusti Ramadhan (HiBank)</t>
  </si>
  <si>
    <t>1 Tahun</t>
  </si>
  <si>
    <t>Fatma Rahma W (PROPOSE AWAL)</t>
  </si>
  <si>
    <t>05 Mei 2027</t>
  </si>
  <si>
    <t>Ragil Aria Dewanto (PROPOSE 1 YEAR)</t>
  </si>
  <si>
    <t>10,3 + 1 +1</t>
  </si>
  <si>
    <t>Ira Maria Ulfa</t>
  </si>
  <si>
    <t>Middle Businise Analyst</t>
  </si>
  <si>
    <t>kartap</t>
  </si>
  <si>
    <t>Adinda Sintawati</t>
  </si>
  <si>
    <t>Shiddiq As Syuhadda</t>
  </si>
  <si>
    <t>IDG</t>
  </si>
  <si>
    <t>Junior Fullstack Developr</t>
  </si>
  <si>
    <t>Bank BSI Programmer</t>
  </si>
  <si>
    <t>Fadhel</t>
  </si>
  <si>
    <t>Middle Fullstack Developer *</t>
  </si>
  <si>
    <t>Muhammad Rizky (kibot)</t>
  </si>
  <si>
    <t>Bondan</t>
  </si>
  <si>
    <t>Senior AI Engineer</t>
  </si>
  <si>
    <t>M Glenn Yunifer</t>
  </si>
  <si>
    <t>Middle Data Engineer</t>
  </si>
  <si>
    <t>16 Des 2026</t>
  </si>
  <si>
    <t>Luthfy Rahmani</t>
  </si>
  <si>
    <t>Middle Mobile / Frontend Developer</t>
  </si>
  <si>
    <t>Kahfi Kurnia Aji - BE</t>
  </si>
  <si>
    <t>DKI Project Corporate Website</t>
  </si>
  <si>
    <t>INTERNAL - SOC</t>
  </si>
  <si>
    <t xml:space="preserve">Bank BSI Programmer </t>
  </si>
  <si>
    <t>Muhammad Daffa Arviano Putra- BE</t>
  </si>
  <si>
    <t>TELKOMSEL FOSS</t>
  </si>
  <si>
    <t>Mohammad Radja Alyfa Amri - FE</t>
  </si>
  <si>
    <t>20 Okt 2026</t>
  </si>
  <si>
    <t xml:space="preserve">Della Fitrisia - UI/UX </t>
  </si>
  <si>
    <t>Junior Backend</t>
  </si>
  <si>
    <t>Putra Aditama - UI/UX</t>
  </si>
  <si>
    <t>Senior Frontend Developer</t>
  </si>
  <si>
    <t>TELKOMSEL IDP</t>
  </si>
  <si>
    <t>DevOps IDP</t>
  </si>
  <si>
    <t xml:space="preserve">Middle DevOps </t>
  </si>
  <si>
    <t>Ersa Andhini - Scrum</t>
  </si>
  <si>
    <t>Khairul Pandunata - BA (Internal AIGEN)</t>
  </si>
  <si>
    <t>Middle Frontend Developer *</t>
  </si>
  <si>
    <t>DKI Project Mobile Banking</t>
  </si>
  <si>
    <t>10 + 5</t>
  </si>
  <si>
    <t>10,3 + 1 + 700</t>
  </si>
  <si>
    <t>TELKOMSEL TEM</t>
  </si>
  <si>
    <t>DKI APP MIGRATION</t>
  </si>
  <si>
    <t>Rifqi Darmawan</t>
  </si>
  <si>
    <t>Senior Mobile / Fullstack Developer</t>
  </si>
  <si>
    <t>TELKOMSEL TEM &amp; ITWASUM</t>
  </si>
  <si>
    <t>Oct - Desember 2025</t>
  </si>
  <si>
    <t>5,1</t>
  </si>
  <si>
    <t xml:space="preserve">Hansel Tonna - UI/UX </t>
  </si>
  <si>
    <t>Tito Iswanto (Sudah Join)</t>
  </si>
  <si>
    <t>Project Manager (Middle)</t>
  </si>
  <si>
    <t>3 Maret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</si>
</sst>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[$Rp ]#,##0.00"/>
    <numFmt numFmtId="165" formatCode="d mmmm"/>
    <numFmt numFmtId="166" formatCode="[$Rp ]#,##0"/>
    <numFmt numFmtId="167" formatCode="d&quot; &quot;mmmm&quot; &quot;yyyy"/>
    <numFmt numFmtId="168" formatCode="mmmm yyyy"/>
    <numFmt numFmtId="169" formatCode="d mmmm yyyy"/>
    <numFmt numFmtId="170" formatCode="d mmm yyyy"/>
    <numFmt numFmtId="171" formatCode="dd mmmm yyyy"/>
    <numFmt numFmtId="172" formatCode="dd mmm yyyy"/>
  </numFmts>
  <fonts count="26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b/>
      <i/>
      <sz val="11.0"/>
      <color theme="1"/>
      <name val="Arial"/>
    </font>
    <font>
      <sz val="11.0"/>
      <color rgb="FF212121"/>
      <name val="Inter"/>
    </font>
    <font>
      <b/>
      <i/>
      <sz val="11.0"/>
      <color theme="1"/>
      <name val="Calibri"/>
    </font>
    <font>
      <b/>
      <color theme="1"/>
      <name val="Inter"/>
    </font>
    <font>
      <b/>
      <i/>
      <color theme="1"/>
      <name val="Inter"/>
    </font>
    <font>
      <color theme="1"/>
      <name val="Inter"/>
    </font>
    <font>
      <b/>
      <color theme="1"/>
      <name val="Arial"/>
      <scheme val="minor"/>
    </font>
    <font>
      <color rgb="FF0000FF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2.0"/>
      <color theme="1"/>
      <name val="Arial"/>
    </font>
    <font>
      <sz val="11.0"/>
      <color rgb="FF000000"/>
      <name val="-apple-system"/>
    </font>
    <font>
      <sz val="11.0"/>
      <color rgb="FF212121"/>
      <name val="Arial"/>
    </font>
    <font>
      <sz val="11.0"/>
      <color theme="1"/>
      <name val="Arial"/>
      <scheme val="minor"/>
    </font>
    <font>
      <color rgb="FF212121"/>
      <name val="Inter"/>
    </font>
    <font>
      <sz val="11.0"/>
      <color rgb="FF000000"/>
      <name val="Arial"/>
    </font>
    <font>
      <color rgb="FF212121"/>
      <name val="Arial"/>
    </font>
    <font>
      <b/>
      <i/>
      <color theme="1"/>
      <name val="Arial"/>
    </font>
    <font>
      <b/>
      <sz val="11.0"/>
      <color rgb="FF000000"/>
      <name val="Arial"/>
    </font>
    <font>
      <b/>
      <sz val="11.0"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6AA84F"/>
        <bgColor rgb="FF6AA84F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D0E0E3"/>
        <bgColor rgb="FFD0E0E3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50505"/>
      </bottom>
    </border>
  </borders>
  <cellStyleXfs count="1">
    <xf borderId="0" fillId="0" fontId="0" numFmtId="0" applyAlignment="1" applyFont="1"/>
  </cellStyleXfs>
  <cellXfs count="40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vertical="bottom"/>
    </xf>
    <xf borderId="2" fillId="3" fontId="3" numFmtId="0" xfId="0" applyAlignment="1" applyBorder="1" applyFill="1" applyFont="1">
      <alignment readingOrder="0" vertical="bottom"/>
    </xf>
    <xf borderId="0" fillId="0" fontId="1" numFmtId="0" xfId="0" applyAlignment="1" applyFont="1">
      <alignment horizontal="center" vertical="bottom"/>
    </xf>
    <xf borderId="2" fillId="4" fontId="4" numFmtId="0" xfId="0" applyAlignment="1" applyBorder="1" applyFill="1" applyFont="1">
      <alignment horizontal="center" readingOrder="0" vertical="bottom"/>
    </xf>
    <xf borderId="2" fillId="4" fontId="1" numFmtId="0" xfId="0" applyAlignment="1" applyBorder="1" applyFill="1" applyFont="1">
      <alignment vertical="bottom"/>
    </xf>
    <xf borderId="2" fillId="2" fontId="1" numFmtId="0" xfId="0" applyAlignment="1" applyBorder="1" applyFill="1" applyFont="1">
      <alignment horizontal="center" readingOrder="0" vertical="bottom"/>
    </xf>
    <xf borderId="2" fillId="4" fontId="4" numFmtId="0" xfId="0" applyAlignment="1" applyBorder="1" applyFill="1" applyFont="1">
      <alignment vertical="bottom"/>
    </xf>
    <xf borderId="2" fillId="0" fontId="4" numFmtId="0" xfId="0" applyAlignment="1" applyBorder="1" applyFont="1">
      <alignment vertical="bottom"/>
    </xf>
    <xf borderId="2" fillId="0" fontId="4" numFmtId="164" xfId="0" applyAlignment="1" applyBorder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2" fillId="0" fontId="3" numFmtId="164" xfId="0" applyAlignment="1" applyBorder="1" applyFont="1" applyNumberFormat="1">
      <alignment readingOrder="0" vertical="bottom"/>
    </xf>
    <xf borderId="2" fillId="5" fontId="1" numFmtId="0" xfId="0" applyAlignment="1" applyBorder="1" applyFill="1" applyFont="1">
      <alignment vertical="bottom"/>
    </xf>
    <xf borderId="2" fillId="0" fontId="2" numFmtId="0" xfId="0" applyAlignment="1" applyBorder="1" applyFont="1">
      <alignment horizontal="center" readingOrder="0" vertical="bottom"/>
    </xf>
    <xf borderId="0" fillId="0" fontId="2" numFmtId="10" xfId="0" applyAlignment="1" applyFont="1" applyNumberFormat="1">
      <alignment vertical="bottom"/>
    </xf>
    <xf borderId="3" fillId="4" fontId="4" numFmtId="0" xfId="0" applyAlignment="1" applyBorder="1" applyFill="1" applyFont="1">
      <alignment vertical="bottom"/>
    </xf>
    <xf borderId="2" fillId="0" fontId="2" numFmtId="165" xfId="0" applyAlignment="1" applyBorder="1" applyFont="1" applyNumberFormat="1">
      <alignment horizontal="left" readingOrder="0" vertical="bottom"/>
    </xf>
    <xf borderId="0" fillId="0" fontId="2" numFmtId="164" xfId="0" applyAlignment="1" applyFont="1" applyNumberFormat="1">
      <alignment horizontal="left" readingOrder="0" vertical="bottom"/>
    </xf>
    <xf borderId="1" fillId="4" fontId="1" numFmtId="0" xfId="0" applyAlignment="1" applyBorder="1" applyFill="1" applyFont="1">
      <alignment vertical="bottom"/>
    </xf>
    <xf borderId="1" fillId="0" fontId="4" numFmtId="0" xfId="0" applyAlignment="1" applyBorder="1" applyFont="1">
      <alignment vertical="bottom"/>
    </xf>
    <xf borderId="1" fillId="5" fontId="1" numFmtId="0" xfId="0" applyAlignment="1" applyBorder="1" applyFill="1" applyFont="1">
      <alignment vertical="bottom"/>
    </xf>
    <xf borderId="2" fillId="4" fontId="3" numFmtId="164" xfId="0" applyAlignment="1" applyBorder="1" applyFill="1" applyFont="1" applyNumberFormat="1">
      <alignment readingOrder="0" vertical="bottom"/>
    </xf>
    <xf borderId="2" fillId="0" fontId="3" numFmtId="0" xfId="0" applyAlignment="1" applyBorder="1" applyFont="1">
      <alignment readingOrder="0" vertical="bottom"/>
    </xf>
    <xf borderId="2" fillId="6" fontId="1" numFmtId="0" xfId="0" applyAlignment="1" applyBorder="1" applyFill="1" applyFont="1">
      <alignment vertical="bottom"/>
    </xf>
    <xf borderId="2" fillId="0" fontId="5" numFmtId="0" xfId="0" applyAlignment="1" applyBorder="1" applyFont="1">
      <alignment horizontal="left" readingOrder="0"/>
    </xf>
    <xf borderId="2" fillId="0" fontId="1" numFmtId="0" xfId="0" applyAlignment="1" applyBorder="1" applyFont="1">
      <alignment vertical="bottom"/>
    </xf>
    <xf borderId="1" fillId="6" fontId="1" numFmtId="0" xfId="0" applyAlignment="1" applyBorder="1" applyFill="1" applyFont="1">
      <alignment vertical="bottom"/>
    </xf>
    <xf borderId="0" fillId="4" fontId="2" numFmtId="164" xfId="0" applyAlignment="1" applyFill="1" applyFont="1" applyNumberFormat="1">
      <alignment vertical="bottom"/>
    </xf>
    <xf borderId="2" fillId="0" fontId="2" numFmtId="164" xfId="0" applyAlignment="1" applyBorder="1" applyFont="1" applyNumberFormat="1">
      <alignment horizontal="left" readingOrder="0" vertical="bottom"/>
    </xf>
    <xf borderId="2" fillId="0" fontId="1" numFmtId="0" xfId="0" applyAlignment="1" applyBorder="1" applyFont="1">
      <alignment readingOrder="0" vertical="bottom"/>
    </xf>
    <xf borderId="0" fillId="0" fontId="2" numFmtId="165" xfId="0" applyAlignment="1" applyFont="1" applyNumberFormat="1">
      <alignment horizontal="left" readingOrder="0" vertical="bottom"/>
    </xf>
    <xf borderId="2" fillId="0" fontId="5" numFmtId="0" xfId="0" applyAlignment="1" applyBorder="1" applyFont="1">
      <alignment horizontal="center" readingOrder="0"/>
    </xf>
    <xf borderId="0" fillId="0" fontId="2" numFmtId="0" xfId="0" applyAlignment="1" applyFont="1">
      <alignment readingOrder="0" vertical="bottom"/>
    </xf>
    <xf borderId="2" fillId="5" fontId="1" numFmtId="0" xfId="0" applyAlignment="1" applyBorder="1" applyFill="1" applyFont="1">
      <alignment readingOrder="0" vertical="bottom"/>
    </xf>
    <xf borderId="0" fillId="0" fontId="2" numFmtId="164" xfId="0" applyAlignment="1" applyFont="1" applyNumberFormat="1">
      <alignment horizontal="right" vertical="bottom"/>
    </xf>
    <xf borderId="2" fillId="4" fontId="4" numFmtId="0" xfId="0" applyAlignment="1" applyBorder="1" applyFill="1" applyFont="1">
      <alignment readingOrder="0" vertical="bottom"/>
    </xf>
    <xf borderId="2" fillId="0" fontId="2" numFmtId="164" xfId="0" applyAlignment="1" applyBorder="1" applyFont="1" applyNumberFormat="1">
      <alignment vertical="bottom"/>
    </xf>
    <xf borderId="0" fillId="7" fontId="3" numFmtId="0" xfId="0" applyAlignment="1" applyFill="1" applyFont="1">
      <alignment readingOrder="0" vertical="bottom"/>
    </xf>
    <xf borderId="0" fillId="0" fontId="5" numFmtId="0" xfId="0" applyAlignment="1" applyFont="1">
      <alignment horizontal="left"/>
    </xf>
    <xf borderId="0" fillId="0" fontId="2" numFmtId="164" xfId="0" applyAlignment="1" applyFont="1" applyNumberFormat="1">
      <alignment readingOrder="0" vertical="bottom"/>
    </xf>
    <xf borderId="2" fillId="6" fontId="1" numFmtId="0" xfId="0" applyAlignment="1" applyBorder="1" applyFill="1" applyFont="1">
      <alignment readingOrder="0" vertical="bottom"/>
    </xf>
    <xf borderId="0" fillId="0" fontId="2" numFmtId="164" xfId="0" applyAlignment="1" applyFont="1" applyNumberFormat="1">
      <alignment horizontal="left" vertical="bottom"/>
    </xf>
    <xf borderId="0" fillId="7" fontId="6" numFmtId="0" xfId="0" applyAlignment="1" applyFill="1" applyFont="1">
      <alignment horizontal="center" vertical="bottom"/>
    </xf>
    <xf borderId="0" fillId="4" fontId="2" numFmtId="0" xfId="0" applyAlignment="1" applyFill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2" fillId="2" fontId="2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Alignment="1" applyBorder="1" applyFont="1">
      <alignment horizontal="right" vertical="bottom"/>
    </xf>
    <xf borderId="2" fillId="4" fontId="7" numFmtId="0" xfId="0" applyAlignment="1" applyBorder="1" applyFill="1" applyFont="1">
      <alignment vertical="bottom"/>
    </xf>
    <xf borderId="2" fillId="0" fontId="2" numFmtId="0" xfId="0" applyAlignment="1" applyBorder="1" applyFont="1">
      <alignment vertical="bottom"/>
    </xf>
    <xf borderId="0" fillId="4" fontId="1" numFmtId="0" xfId="0" applyAlignment="1" applyFill="1" applyFont="1">
      <alignment vertical="bottom"/>
    </xf>
    <xf borderId="2" fillId="0" fontId="8" numFmtId="0" xfId="0" applyAlignment="1" applyBorder="1" applyFont="1">
      <alignment vertical="bottom"/>
    </xf>
    <xf borderId="0" fillId="4" fontId="3" numFmtId="0" xfId="0" applyAlignment="1" applyFill="1" applyFont="1">
      <alignment readingOrder="0" vertical="bottom"/>
    </xf>
    <xf borderId="2" fillId="6" fontId="2" numFmtId="0" xfId="0" applyAlignment="1" applyBorder="1" applyFill="1" applyFont="1">
      <alignment horizontal="right" vertical="bottom"/>
    </xf>
    <xf borderId="2" fillId="6" fontId="7" numFmtId="0" xfId="0" applyAlignment="1" applyBorder="1" applyFill="1" applyFont="1">
      <alignment vertical="bottom"/>
    </xf>
    <xf borderId="2" fillId="6" fontId="4" numFmtId="0" xfId="0" applyAlignment="1" applyBorder="1" applyFill="1" applyFont="1">
      <alignment vertical="bottom"/>
    </xf>
    <xf borderId="2" fillId="0" fontId="2" numFmtId="0" xfId="0" applyAlignment="1" applyBorder="1" applyFont="1">
      <alignment readingOrder="0" vertical="bottom"/>
    </xf>
    <xf borderId="0" fillId="4" fontId="9" numFmtId="0" xfId="0" applyAlignment="1" applyFill="1" applyFont="1">
      <alignment vertical="bottom"/>
    </xf>
    <xf borderId="0" fillId="4" fontId="3" numFmtId="0" xfId="0" applyAlignment="1" applyFill="1" applyFont="1">
      <alignment vertical="bottom"/>
    </xf>
    <xf borderId="2" fillId="4" fontId="2" numFmtId="0" xfId="0" applyAlignment="1" applyBorder="1" applyFill="1" applyFont="1">
      <alignment horizontal="right" vertical="bottom"/>
    </xf>
    <xf borderId="2" fillId="4" fontId="3" numFmtId="0" xfId="0" applyAlignment="1" applyBorder="1" applyFill="1" applyFont="1">
      <alignment vertical="bottom"/>
    </xf>
    <xf borderId="2" fillId="4" fontId="2" numFmtId="0" xfId="0" applyAlignment="1" applyBorder="1" applyFill="1" applyFont="1">
      <alignment vertical="bottom"/>
    </xf>
    <xf borderId="0" fillId="0" fontId="4" numFmtId="0" xfId="0" applyAlignment="1" applyFont="1">
      <alignment vertical="bottom"/>
    </xf>
    <xf borderId="0" fillId="0" fontId="7" numFmtId="0" xfId="0" applyAlignment="1" applyFont="1">
      <alignment vertical="bottom"/>
    </xf>
    <xf borderId="2" fillId="7" fontId="2" numFmtId="0" xfId="0" applyAlignment="1" applyBorder="1" applyFill="1" applyFont="1">
      <alignment horizontal="right" readingOrder="0" vertical="bottom"/>
    </xf>
    <xf borderId="2" fillId="7" fontId="1" numFmtId="0" xfId="0" applyAlignment="1" applyBorder="1" applyFill="1" applyFont="1">
      <alignment readingOrder="0" vertical="bottom"/>
    </xf>
    <xf borderId="2" fillId="7" fontId="3" numFmtId="0" xfId="0" applyAlignment="1" applyBorder="1" applyFill="1" applyFont="1">
      <alignment vertical="bottom"/>
    </xf>
    <xf borderId="2" fillId="7" fontId="7" numFmtId="0" xfId="0" applyAlignment="1" applyBorder="1" applyFill="1" applyFont="1">
      <alignment vertical="bottom"/>
    </xf>
    <xf borderId="2" fillId="7" fontId="4" numFmtId="0" xfId="0" applyAlignment="1" applyBorder="1" applyFill="1" applyFont="1">
      <alignment vertical="bottom"/>
    </xf>
    <xf borderId="0" fillId="0" fontId="5" numFmtId="0" xfId="0" applyAlignment="1" applyFont="1">
      <alignment readingOrder="0"/>
    </xf>
    <xf borderId="2" fillId="0" fontId="2" numFmtId="3" xfId="0" applyAlignment="1" applyBorder="1" applyFont="1" applyNumberFormat="1">
      <alignment horizontal="right" vertical="bottom"/>
    </xf>
    <xf borderId="2" fillId="0" fontId="3" numFmtId="0" xfId="0" applyAlignment="1" applyBorder="1" applyFont="1">
      <alignment vertical="bottom"/>
    </xf>
    <xf borderId="2" fillId="0" fontId="5" numFmtId="0" xfId="0" applyBorder="1" applyFont="1"/>
    <xf borderId="0" fillId="0" fontId="2" numFmtId="3" xfId="0" applyAlignment="1" applyFont="1" applyNumberFormat="1">
      <alignment vertical="bottom"/>
    </xf>
    <xf borderId="0" fillId="0" fontId="2" numFmtId="3" xfId="0" applyAlignment="1" applyFont="1" applyNumberFormat="1">
      <alignment horizontal="right" vertical="bottom"/>
    </xf>
    <xf borderId="2" fillId="0" fontId="2" numFmtId="166" xfId="0" applyAlignment="1" applyBorder="1" applyFont="1" applyNumberFormat="1">
      <alignment horizontal="right" vertical="bottom"/>
    </xf>
    <xf borderId="2" fillId="4" fontId="2" numFmtId="0" xfId="0" applyAlignment="1" applyBorder="1" applyFill="1" applyFont="1">
      <alignment horizontal="right" readingOrder="0" vertical="bottom"/>
    </xf>
    <xf borderId="2" fillId="0" fontId="2" numFmtId="164" xfId="0" applyAlignment="1" applyBorder="1" applyFont="1" applyNumberFormat="1">
      <alignment horizontal="right" vertical="bottom"/>
    </xf>
    <xf borderId="2" fillId="0" fontId="2" numFmtId="166" xfId="0" applyAlignment="1" applyBorder="1" applyFont="1" applyNumberFormat="1">
      <alignment horizontal="center" vertical="bottom"/>
    </xf>
    <xf borderId="2" fillId="0" fontId="2" numFmtId="3" xfId="0" applyAlignment="1" applyBorder="1" applyFont="1" applyNumberFormat="1">
      <alignment readingOrder="0" vertical="bottom"/>
    </xf>
    <xf borderId="0" fillId="4" fontId="2" numFmtId="0" xfId="0" applyAlignment="1" applyFill="1" applyFont="1">
      <alignment horizontal="right" vertical="bottom"/>
    </xf>
    <xf borderId="2" fillId="4" fontId="2" numFmtId="164" xfId="0" applyAlignment="1" applyBorder="1" applyFill="1" applyFont="1" applyNumberFormat="1">
      <alignment vertical="bottom"/>
    </xf>
    <xf borderId="2" fillId="4" fontId="2" numFmtId="164" xfId="0" applyAlignment="1" applyBorder="1" applyFill="1" applyFont="1" applyNumberFormat="1">
      <alignment readingOrder="0" vertical="bottom"/>
    </xf>
    <xf borderId="2" fillId="4" fontId="2" numFmtId="0" xfId="0" applyAlignment="1" applyBorder="1" applyFill="1" applyFont="1">
      <alignment readingOrder="0" vertical="bottom"/>
    </xf>
    <xf borderId="0" fillId="0" fontId="2" numFmtId="166" xfId="0" applyAlignment="1" applyFont="1" applyNumberFormat="1">
      <alignment vertical="bottom"/>
    </xf>
    <xf borderId="2" fillId="6" fontId="3" numFmtId="0" xfId="0" applyAlignment="1" applyBorder="1" applyFill="1" applyFont="1">
      <alignment readingOrder="0" vertical="bottom"/>
    </xf>
    <xf borderId="2" fillId="6" fontId="2" numFmtId="0" xfId="0" applyAlignment="1" applyBorder="1" applyFill="1" applyFont="1">
      <alignment vertical="bottom"/>
    </xf>
    <xf borderId="2" fillId="6" fontId="2" numFmtId="0" xfId="0" applyAlignment="1" applyBorder="1" applyFill="1" applyFont="1">
      <alignment readingOrder="0" vertical="bottom"/>
    </xf>
    <xf borderId="0" fillId="6" fontId="2" numFmtId="165" xfId="0" applyAlignment="1" applyFill="1" applyFont="1" applyNumberFormat="1">
      <alignment readingOrder="0" vertical="bottom"/>
    </xf>
    <xf borderId="2" fillId="4" fontId="9" numFmtId="0" xfId="0" applyAlignment="1" applyBorder="1" applyFill="1" applyFont="1">
      <alignment vertical="bottom"/>
    </xf>
    <xf borderId="2" fillId="5" fontId="3" numFmtId="0" xfId="0" applyAlignment="1" applyBorder="1" applyFill="1" applyFont="1">
      <alignment readingOrder="0" vertical="bottom"/>
    </xf>
    <xf borderId="2" fillId="4" fontId="10" numFmtId="0" xfId="0" applyAlignment="1" applyBorder="1" applyFill="1" applyFont="1">
      <alignment vertical="bottom"/>
    </xf>
    <xf borderId="2" fillId="4" fontId="9" numFmtId="0" xfId="0" applyAlignment="1" applyBorder="1" applyFill="1" applyFont="1">
      <alignment horizontal="left" vertical="bottom"/>
    </xf>
    <xf borderId="2" fillId="4" fontId="11" numFmtId="167" xfId="0" applyAlignment="1" applyBorder="1" applyFill="1" applyFont="1" applyNumberFormat="1">
      <alignment horizontal="left" readingOrder="0"/>
    </xf>
    <xf borderId="2" fillId="0" fontId="3" numFmtId="0" xfId="0" applyAlignment="1" applyBorder="1" applyFont="1">
      <alignment horizontal="left" vertical="bottom"/>
    </xf>
    <xf borderId="2" fillId="6" fontId="9" numFmtId="0" xfId="0" applyAlignment="1" applyBorder="1" applyFill="1" applyFont="1">
      <alignment vertical="bottom"/>
    </xf>
    <xf borderId="2" fillId="4" fontId="1" numFmtId="0" xfId="0" applyAlignment="1" applyBorder="1" applyFill="1" applyFont="1">
      <alignment readingOrder="0" vertical="bottom"/>
    </xf>
    <xf borderId="2" fillId="0" fontId="2" numFmtId="164" xfId="0" applyAlignment="1" applyBorder="1" applyFont="1" applyNumberFormat="1">
      <alignment readingOrder="0" vertical="bottom"/>
    </xf>
    <xf borderId="0" fillId="4" fontId="2" numFmtId="0" xfId="0" applyAlignment="1" applyFill="1" applyFont="1">
      <alignment readingOrder="0" vertical="bottom"/>
    </xf>
    <xf borderId="2" fillId="0" fontId="12" numFmtId="0" xfId="0" applyAlignment="1" applyBorder="1" applyFont="1">
      <alignment readingOrder="0"/>
    </xf>
    <xf borderId="0" fillId="0" fontId="2" numFmtId="0" xfId="0" applyAlignment="1" applyFont="1">
      <alignment horizontal="right" vertical="bottom"/>
    </xf>
    <xf borderId="2" fillId="0" fontId="5" numFmtId="0" xfId="0" applyAlignment="1" applyBorder="1" applyFont="1">
      <alignment readingOrder="0"/>
    </xf>
    <xf borderId="2" fillId="0" fontId="4" numFmtId="0" xfId="0" applyAlignment="1" applyBorder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2" fillId="6" fontId="12" numFmtId="0" xfId="0" applyAlignment="1" applyBorder="1" applyFill="1" applyFont="1">
      <alignment readingOrder="0"/>
    </xf>
    <xf borderId="2" fillId="6" fontId="5" numFmtId="0" xfId="0" applyAlignment="1" applyBorder="1" applyFill="1" applyFont="1">
      <alignment readingOrder="0"/>
    </xf>
    <xf borderId="2" fillId="6" fontId="5" numFmtId="0" xfId="0" applyBorder="1" applyFill="1" applyFont="1"/>
    <xf borderId="1" fillId="2" fontId="2" numFmtId="0" xfId="0" applyAlignment="1" applyBorder="1" applyFill="1" applyFont="1">
      <alignment vertical="bottom"/>
    </xf>
    <xf borderId="2" fillId="4" fontId="3" numFmtId="0" xfId="0" applyAlignment="1" applyBorder="1" applyFill="1" applyFont="1">
      <alignment readingOrder="0" vertical="bottom"/>
    </xf>
    <xf borderId="2" fillId="4" fontId="11" numFmtId="0" xfId="0" applyAlignment="1" applyBorder="1" applyFill="1" applyFont="1">
      <alignment readingOrder="0" vertical="bottom"/>
    </xf>
    <xf borderId="2" fillId="0" fontId="2" numFmtId="0" xfId="0" applyAlignment="1" applyBorder="1" applyFont="1">
      <alignment vertical="bottom"/>
    </xf>
    <xf borderId="2" fillId="4" fontId="2" numFmtId="0" xfId="0" applyAlignment="1" applyBorder="1" applyFill="1" applyFont="1">
      <alignment vertical="bottom"/>
    </xf>
    <xf borderId="0" fillId="4" fontId="4" numFmtId="0" xfId="0" applyAlignment="1" applyFill="1" applyFont="1">
      <alignment horizontal="center" readingOrder="0" vertical="bottom"/>
    </xf>
    <xf borderId="2" fillId="5" fontId="8" numFmtId="0" xfId="0" applyAlignment="1" applyBorder="1" applyFill="1" applyFont="1">
      <alignment vertical="bottom"/>
    </xf>
    <xf borderId="2" fillId="5" fontId="4" numFmtId="0" xfId="0" applyAlignment="1" applyBorder="1" applyFill="1" applyFont="1">
      <alignment vertical="bottom"/>
    </xf>
    <xf borderId="1" fillId="0" fontId="1" numFmtId="0" xfId="0" applyAlignment="1" applyBorder="1" applyFont="1">
      <alignment vertical="bottom"/>
    </xf>
    <xf borderId="2" fillId="5" fontId="2" numFmtId="0" xfId="0" applyAlignment="1" applyBorder="1" applyFill="1" applyFont="1">
      <alignment horizontal="center" readingOrder="0" vertical="bottom"/>
    </xf>
    <xf borderId="2" fillId="7" fontId="12" numFmtId="0" xfId="0" applyAlignment="1" applyBorder="1" applyFill="1" applyFont="1">
      <alignment readingOrder="0"/>
    </xf>
    <xf borderId="2" fillId="4" fontId="7" numFmtId="0" xfId="0" applyAlignment="1" applyBorder="1" applyFill="1" applyFont="1">
      <alignment readingOrder="0" vertical="bottom"/>
    </xf>
    <xf borderId="0" fillId="0" fontId="5" numFmtId="0" xfId="0" applyAlignment="1" applyFont="1">
      <alignment horizontal="center" readingOrder="0"/>
    </xf>
    <xf borderId="2" fillId="7" fontId="1" numFmtId="0" xfId="0" applyAlignment="1" applyBorder="1" applyFill="1" applyFont="1">
      <alignment vertical="bottom"/>
    </xf>
    <xf borderId="2" fillId="5" fontId="3" numFmtId="0" xfId="0" applyAlignment="1" applyBorder="1" applyFill="1" applyFont="1">
      <alignment vertical="bottom"/>
    </xf>
    <xf borderId="2" fillId="7" fontId="5" numFmtId="0" xfId="0" applyAlignment="1" applyBorder="1" applyFill="1" applyFont="1">
      <alignment readingOrder="0"/>
    </xf>
    <xf borderId="2" fillId="7" fontId="7" numFmtId="0" xfId="0" applyAlignment="1" applyBorder="1" applyFill="1" applyFont="1">
      <alignment readingOrder="0" vertical="bottom"/>
    </xf>
    <xf borderId="2" fillId="7" fontId="5" numFmtId="0" xfId="0" applyBorder="1" applyFill="1" applyFont="1"/>
    <xf borderId="2" fillId="7" fontId="2" numFmtId="0" xfId="0" applyAlignment="1" applyBorder="1" applyFill="1" applyFont="1">
      <alignment readingOrder="0" vertical="bottom"/>
    </xf>
    <xf borderId="2" fillId="7" fontId="2" numFmtId="164" xfId="0" applyAlignment="1" applyBorder="1" applyFill="1" applyFont="1" applyNumberFormat="1">
      <alignment vertical="bottom"/>
    </xf>
    <xf borderId="2" fillId="5" fontId="9" numFmtId="0" xfId="0" applyAlignment="1" applyBorder="1" applyFill="1" applyFont="1">
      <alignment vertical="bottom"/>
    </xf>
    <xf borderId="2" fillId="5" fontId="2" numFmtId="0" xfId="0" applyAlignment="1" applyBorder="1" applyFill="1" applyFont="1">
      <alignment vertical="bottom"/>
    </xf>
    <xf borderId="2" fillId="5" fontId="2" numFmtId="0" xfId="0" applyAlignment="1" applyBorder="1" applyFill="1" applyFont="1">
      <alignment readingOrder="0" vertical="bottom"/>
    </xf>
    <xf borderId="2" fillId="5" fontId="3" numFmtId="164" xfId="0" applyAlignment="1" applyBorder="1" applyFill="1" applyFont="1" applyNumberFormat="1">
      <alignment readingOrder="0" vertical="bottom"/>
    </xf>
    <xf borderId="2" fillId="5" fontId="2" numFmtId="164" xfId="0" applyAlignment="1" applyBorder="1" applyFill="1" applyFont="1" applyNumberFormat="1">
      <alignment readingOrder="0" vertical="bottom"/>
    </xf>
    <xf borderId="2" fillId="5" fontId="2" numFmtId="164" xfId="0" applyAlignment="1" applyBorder="1" applyFill="1" applyFont="1" applyNumberFormat="1">
      <alignment vertical="bottom"/>
    </xf>
    <xf borderId="2" fillId="5" fontId="2" numFmtId="0" xfId="0" applyAlignment="1" applyBorder="1" applyFill="1" applyFont="1">
      <alignment horizontal="right" vertical="bottom"/>
    </xf>
    <xf borderId="0" fillId="7" fontId="2" numFmtId="0" xfId="0" applyAlignment="1" applyFill="1" applyFont="1">
      <alignment horizontal="right" readingOrder="0" vertical="bottom"/>
    </xf>
    <xf borderId="0" fillId="7" fontId="1" numFmtId="0" xfId="0" applyAlignment="1" applyFill="1" applyFont="1">
      <alignment readingOrder="0" vertical="bottom"/>
    </xf>
    <xf borderId="0" fillId="7" fontId="4" numFmtId="0" xfId="0" applyAlignment="1" applyFill="1" applyFont="1">
      <alignment readingOrder="0" vertical="bottom"/>
    </xf>
    <xf borderId="0" fillId="7" fontId="2" numFmtId="164" xfId="0" applyAlignment="1" applyFill="1" applyFont="1" applyNumberFormat="1">
      <alignment readingOrder="0" vertical="bottom"/>
    </xf>
    <xf borderId="0" fillId="7" fontId="2" numFmtId="0" xfId="0" applyAlignment="1" applyFill="1" applyFont="1">
      <alignment readingOrder="0" vertical="bottom"/>
    </xf>
    <xf borderId="2" fillId="7" fontId="4" numFmtId="0" xfId="0" applyAlignment="1" applyBorder="1" applyFill="1" applyFont="1">
      <alignment readingOrder="0" vertical="bottom"/>
    </xf>
    <xf borderId="2" fillId="7" fontId="2" numFmtId="164" xfId="0" applyAlignment="1" applyBorder="1" applyFill="1" applyFont="1" applyNumberFormat="1">
      <alignment readingOrder="0" vertical="bottom"/>
    </xf>
    <xf borderId="2" fillId="5" fontId="11" numFmtId="0" xfId="0" applyAlignment="1" applyBorder="1" applyFill="1" applyFont="1">
      <alignment readingOrder="0" vertical="bottom"/>
    </xf>
    <xf borderId="2" fillId="0" fontId="11" numFmtId="0" xfId="0" applyAlignment="1" applyBorder="1" applyFont="1">
      <alignment readingOrder="0" vertical="bottom"/>
    </xf>
    <xf borderId="2" fillId="7" fontId="2" numFmtId="0" xfId="0" applyAlignment="1" applyBorder="1" applyFill="1" applyFont="1">
      <alignment vertical="bottom"/>
    </xf>
    <xf borderId="2" fillId="7" fontId="13" numFmtId="49" xfId="0" applyAlignment="1" applyBorder="1" applyFill="1" applyFont="1" applyNumberFormat="1">
      <alignment horizontal="center" readingOrder="0" vertical="bottom"/>
    </xf>
    <xf borderId="2" fillId="7" fontId="3" numFmtId="0" xfId="0" applyAlignment="1" applyBorder="1" applyFill="1" applyFont="1">
      <alignment readingOrder="0" vertical="bottom"/>
    </xf>
    <xf borderId="2" fillId="7" fontId="13" numFmtId="49" xfId="0" applyAlignment="1" applyBorder="1" applyFill="1" applyFont="1" applyNumberFormat="1">
      <alignment horizontal="center" vertical="bottom"/>
    </xf>
    <xf borderId="2" fillId="5" fontId="13" numFmtId="49" xfId="0" applyAlignment="1" applyBorder="1" applyFill="1" applyFont="1" applyNumberFormat="1">
      <alignment horizontal="center" readingOrder="0" vertical="bottom"/>
    </xf>
    <xf borderId="0" fillId="0" fontId="2" numFmtId="165" xfId="0" applyAlignment="1" applyFont="1" applyNumberFormat="1">
      <alignment readingOrder="0" vertical="bottom"/>
    </xf>
    <xf borderId="2" fillId="4" fontId="12" numFmtId="0" xfId="0" applyAlignment="1" applyBorder="1" applyFill="1" applyFont="1">
      <alignment readingOrder="0"/>
    </xf>
    <xf borderId="2" fillId="4" fontId="5" numFmtId="0" xfId="0" applyAlignment="1" applyBorder="1" applyFill="1" applyFont="1">
      <alignment readingOrder="0"/>
    </xf>
    <xf borderId="2" fillId="4" fontId="5" numFmtId="0" xfId="0" applyBorder="1" applyFill="1" applyFont="1"/>
    <xf borderId="2" fillId="0" fontId="2" numFmtId="165" xfId="0" applyAlignment="1" applyBorder="1" applyFont="1" applyNumberFormat="1">
      <alignment readingOrder="0" vertical="bottom"/>
    </xf>
    <xf borderId="2" fillId="0" fontId="3" numFmtId="0" xfId="0" applyAlignment="1" applyBorder="1" applyFont="1">
      <alignment vertical="bottom"/>
    </xf>
    <xf borderId="2" fillId="8" fontId="3" numFmtId="0" xfId="0" applyAlignment="1" applyBorder="1" applyFill="1" applyFont="1">
      <alignment readingOrder="0" vertical="bottom"/>
    </xf>
    <xf borderId="2" fillId="8" fontId="3" numFmtId="0" xfId="0" applyAlignment="1" applyBorder="1" applyFill="1" applyFont="1">
      <alignment vertical="bottom"/>
    </xf>
    <xf borderId="0" fillId="0" fontId="3" numFmtId="0" xfId="0" applyAlignment="1" applyFont="1">
      <alignment readingOrder="0" vertical="bottom"/>
    </xf>
    <xf borderId="2" fillId="7" fontId="2" numFmtId="165" xfId="0" applyAlignment="1" applyBorder="1" applyFill="1" applyFont="1" applyNumberFormat="1">
      <alignment horizontal="center" readingOrder="0" vertical="bottom"/>
    </xf>
    <xf borderId="0" fillId="9" fontId="14" numFmtId="0" xfId="0" applyAlignment="1" applyFill="1" applyFont="1">
      <alignment horizontal="left"/>
    </xf>
    <xf borderId="0" fillId="9" fontId="14" numFmtId="0" xfId="0" applyAlignment="1" applyFill="1" applyFont="1">
      <alignment horizontal="left" readingOrder="0"/>
    </xf>
    <xf borderId="0" fillId="9" fontId="15" numFmtId="0" xfId="0" applyAlignment="1" applyFill="1" applyFont="1">
      <alignment horizontal="left"/>
    </xf>
    <xf borderId="0" fillId="9" fontId="16" numFmtId="0" xfId="0" applyAlignment="1" applyFill="1" applyFont="1">
      <alignment horizontal="center"/>
    </xf>
    <xf borderId="0" fillId="9" fontId="2" numFmtId="0" xfId="0" applyAlignment="1" applyFill="1" applyFont="1">
      <alignment readingOrder="0"/>
    </xf>
    <xf borderId="0" fillId="9" fontId="16" numFmtId="0" xfId="0" applyAlignment="1" applyFill="1" applyFont="1">
      <alignment horizontal="center" readingOrder="0"/>
    </xf>
    <xf borderId="2" fillId="4" fontId="15" numFmtId="0" xfId="0" applyAlignment="1" applyBorder="1" applyFill="1" applyFont="1">
      <alignment horizontal="left"/>
    </xf>
    <xf borderId="2" fillId="10" fontId="14" numFmtId="0" xfId="0" applyAlignment="1" applyBorder="1" applyFill="1" applyFont="1">
      <alignment horizontal="left"/>
    </xf>
    <xf borderId="2" fillId="4" fontId="14" numFmtId="0" xfId="0" applyAlignment="1" applyBorder="1" applyFill="1" applyFont="1">
      <alignment horizontal="left" readingOrder="0"/>
    </xf>
    <xf borderId="2" fillId="4" fontId="15" numFmtId="0" xfId="0" applyAlignment="1" applyBorder="1" applyFill="1" applyFont="1">
      <alignment horizontal="left" readingOrder="0"/>
    </xf>
    <xf borderId="0" fillId="4" fontId="17" numFmtId="167" xfId="0" applyAlignment="1" applyFill="1" applyFont="1" applyNumberFormat="1">
      <alignment horizontal="left" readingOrder="0"/>
    </xf>
    <xf borderId="2" fillId="4" fontId="15" numFmtId="164" xfId="0" applyAlignment="1" applyBorder="1" applyFill="1" applyFont="1" applyNumberFormat="1">
      <alignment horizontal="left"/>
    </xf>
    <xf borderId="2" fillId="0" fontId="15" numFmtId="164" xfId="0" applyAlignment="1" applyBorder="1" applyFont="1" applyNumberFormat="1">
      <alignment horizontal="left"/>
    </xf>
    <xf borderId="0" fillId="4" fontId="11" numFmtId="0" xfId="0" applyFill="1" applyFont="1"/>
    <xf borderId="0" fillId="4" fontId="9" numFmtId="0" xfId="0" applyFill="1" applyFont="1"/>
    <xf borderId="0" fillId="4" fontId="9" numFmtId="0" xfId="0" applyAlignment="1" applyFill="1" applyFont="1">
      <alignment readingOrder="0"/>
    </xf>
    <xf borderId="0" fillId="4" fontId="11" numFmtId="167" xfId="0" applyAlignment="1" applyFill="1" applyFont="1" applyNumberFormat="1">
      <alignment horizontal="center" readingOrder="0"/>
    </xf>
    <xf borderId="2" fillId="0" fontId="15" numFmtId="0" xfId="0" applyAlignment="1" applyBorder="1" applyFont="1">
      <alignment horizontal="left"/>
    </xf>
    <xf borderId="0" fillId="0" fontId="2" numFmtId="0" xfId="0" applyAlignment="1" applyFont="1">
      <alignment horizontal="right" readingOrder="0"/>
    </xf>
    <xf borderId="0" fillId="4" fontId="11" numFmtId="167" xfId="0" applyAlignment="1" applyFill="1" applyFont="1" applyNumberFormat="1">
      <alignment horizontal="center"/>
    </xf>
    <xf borderId="0" fillId="4" fontId="11" numFmtId="0" xfId="0" applyAlignment="1" applyFill="1" applyFont="1">
      <alignment horizontal="center" readingOrder="0"/>
    </xf>
    <xf borderId="0" fillId="0" fontId="2" numFmtId="168" xfId="0" applyAlignment="1" applyFont="1" applyNumberFormat="1">
      <alignment horizontal="right" readingOrder="0"/>
    </xf>
    <xf borderId="0" fillId="0" fontId="9" numFmtId="0" xfId="0" applyFont="1"/>
    <xf borderId="0" fillId="4" fontId="4" numFmtId="0" xfId="0" applyAlignment="1" applyFill="1" applyFont="1">
      <alignment horizontal="right" readingOrder="0" vertical="center"/>
    </xf>
    <xf borderId="0" fillId="4" fontId="11" numFmtId="0" xfId="0" applyAlignment="1" applyFill="1" applyFont="1">
      <alignment readingOrder="0"/>
    </xf>
    <xf borderId="0" fillId="4" fontId="4" numFmtId="167" xfId="0" applyAlignment="1" applyFill="1" applyFont="1" applyNumberFormat="1">
      <alignment horizontal="center" readingOrder="0" vertical="bottom"/>
    </xf>
    <xf borderId="0" fillId="0" fontId="2" numFmtId="169" xfId="0" applyAlignment="1" applyFont="1" applyNumberFormat="1">
      <alignment horizontal="right" readingOrder="0"/>
    </xf>
    <xf borderId="2" fillId="0" fontId="15" numFmtId="10" xfId="0" applyAlignment="1" applyBorder="1" applyFont="1" applyNumberFormat="1">
      <alignment horizontal="left"/>
    </xf>
    <xf borderId="0" fillId="4" fontId="10" numFmtId="0" xfId="0" applyFill="1" applyFont="1"/>
    <xf borderId="0" fillId="4" fontId="11" numFmtId="0" xfId="0" applyAlignment="1" applyFill="1" applyFont="1">
      <alignment shrinkToFit="0" wrapText="1"/>
    </xf>
    <xf borderId="0" fillId="0" fontId="3" numFmtId="0" xfId="0" applyAlignment="1" applyFont="1">
      <alignment vertical="bottom"/>
    </xf>
    <xf borderId="0" fillId="6" fontId="9" numFmtId="0" xfId="0" applyFill="1" applyFont="1"/>
    <xf borderId="0" fillId="6" fontId="11" numFmtId="0" xfId="0" applyFill="1" applyFont="1"/>
    <xf borderId="2" fillId="11" fontId="18" numFmtId="10" xfId="0" applyAlignment="1" applyBorder="1" applyFill="1" applyFont="1" applyNumberFormat="1">
      <alignment horizontal="left"/>
    </xf>
    <xf borderId="0" fillId="6" fontId="11" numFmtId="0" xfId="0" applyAlignment="1" applyFill="1" applyFont="1">
      <alignment shrinkToFit="0" wrapText="1"/>
    </xf>
    <xf borderId="0" fillId="6" fontId="2" numFmtId="0" xfId="0" applyAlignment="1" applyFill="1" applyFont="1">
      <alignment horizontal="center" readingOrder="0"/>
    </xf>
    <xf borderId="0" fillId="6" fontId="2" numFmtId="168" xfId="0" applyAlignment="1" applyFill="1" applyFont="1" applyNumberFormat="1">
      <alignment horizontal="right" readingOrder="0"/>
    </xf>
    <xf borderId="2" fillId="10" fontId="14" numFmtId="0" xfId="0" applyAlignment="1" applyBorder="1" applyFill="1" applyFont="1">
      <alignment horizontal="left" readingOrder="0"/>
    </xf>
    <xf borderId="0" fillId="0" fontId="3" numFmtId="0" xfId="0" applyAlignment="1" applyFont="1">
      <alignment readingOrder="0"/>
    </xf>
    <xf borderId="2" fillId="0" fontId="19" numFmtId="164" xfId="0" applyAlignment="1" applyBorder="1" applyFont="1" applyNumberFormat="1">
      <alignment horizontal="left" readingOrder="0"/>
    </xf>
    <xf borderId="0" fillId="0" fontId="2" numFmtId="167" xfId="0" applyAlignment="1" applyFont="1" applyNumberFormat="1">
      <alignment horizontal="center" readingOrder="0"/>
    </xf>
    <xf borderId="2" fillId="0" fontId="15" numFmtId="164" xfId="0" applyAlignment="1" applyBorder="1" applyFont="1" applyNumberFormat="1">
      <alignment horizontal="left" readingOrder="0"/>
    </xf>
    <xf borderId="2" fillId="0" fontId="14" numFmtId="0" xfId="0" applyAlignment="1" applyBorder="1" applyFont="1">
      <alignment horizontal="left"/>
    </xf>
    <xf borderId="2" fillId="4" fontId="15" numFmtId="0" xfId="0" applyAlignment="1" applyBorder="1" applyFill="1" applyFont="1">
      <alignment horizontal="left" shrinkToFit="0" wrapText="1"/>
    </xf>
    <xf borderId="0" fillId="0" fontId="2" numFmtId="0" xfId="0" applyFont="1"/>
    <xf borderId="2" fillId="4" fontId="15" numFmtId="164" xfId="0" applyAlignment="1" applyBorder="1" applyFill="1" applyFont="1" applyNumberFormat="1">
      <alignment horizontal="left" readingOrder="0"/>
    </xf>
    <xf borderId="0" fillId="4" fontId="3" numFmtId="0" xfId="0" applyFill="1" applyFont="1"/>
    <xf borderId="0" fillId="0" fontId="2" numFmtId="167" xfId="0" applyAlignment="1" applyFont="1" applyNumberFormat="1">
      <alignment horizontal="center"/>
    </xf>
    <xf borderId="0" fillId="4" fontId="20" numFmtId="0" xfId="0" applyFill="1" applyFont="1"/>
    <xf borderId="2" fillId="4" fontId="14" numFmtId="0" xfId="0" applyAlignment="1" applyBorder="1" applyFill="1" applyFont="1">
      <alignment horizontal="left"/>
    </xf>
    <xf borderId="0" fillId="4" fontId="20" numFmtId="167" xfId="0" applyAlignment="1" applyFill="1" applyFont="1" applyNumberFormat="1">
      <alignment horizontal="center" readingOrder="0"/>
    </xf>
    <xf borderId="0" fillId="4" fontId="20" numFmtId="167" xfId="0" applyAlignment="1" applyFill="1" applyFont="1" applyNumberFormat="1">
      <alignment horizontal="center"/>
    </xf>
    <xf borderId="0" fillId="0" fontId="10" numFmtId="0" xfId="0" applyFont="1"/>
    <xf borderId="0" fillId="4" fontId="21" numFmtId="169" xfId="0" applyAlignment="1" applyFill="1" applyFont="1" applyNumberFormat="1">
      <alignment horizontal="left" readingOrder="0"/>
    </xf>
    <xf borderId="2" fillId="0" fontId="15" numFmtId="164" xfId="0" applyAlignment="1" applyBorder="1" applyFont="1" applyNumberFormat="1">
      <alignment horizontal="left" vertical="bottom"/>
    </xf>
    <xf borderId="2" fillId="0" fontId="15" numFmtId="0" xfId="0" applyAlignment="1" applyBorder="1" applyFont="1">
      <alignment horizontal="left" readingOrder="0"/>
    </xf>
    <xf borderId="0" fillId="4" fontId="20" numFmtId="0" xfId="0" applyAlignment="1" applyFill="1" applyFont="1">
      <alignment readingOrder="0"/>
    </xf>
    <xf borderId="2" fillId="12" fontId="14" numFmtId="0" xfId="0" applyAlignment="1" applyBorder="1" applyFill="1" applyFont="1">
      <alignment horizontal="left" readingOrder="0"/>
    </xf>
    <xf borderId="0" fillId="0" fontId="3" numFmtId="0" xfId="0" applyFont="1"/>
    <xf borderId="2" fillId="0" fontId="15" numFmtId="9" xfId="0" applyAlignment="1" applyBorder="1" applyFont="1" applyNumberFormat="1">
      <alignment horizontal="left" readingOrder="0"/>
    </xf>
    <xf borderId="2" fillId="4" fontId="15" numFmtId="167" xfId="0" applyAlignment="1" applyBorder="1" applyFill="1" applyFont="1" applyNumberFormat="1">
      <alignment horizontal="left"/>
    </xf>
    <xf borderId="0" fillId="9" fontId="16" numFmtId="0" xfId="0" applyAlignment="1" applyFill="1" applyFont="1">
      <alignment horizontal="left"/>
    </xf>
    <xf borderId="0" fillId="9" fontId="2" numFmtId="0" xfId="0" applyAlignment="1" applyFill="1" applyFont="1">
      <alignment horizontal="left"/>
    </xf>
    <xf borderId="0" fillId="4" fontId="17" numFmtId="0" xfId="0" applyAlignment="1" applyFill="1" applyFont="1">
      <alignment horizontal="left" readingOrder="0"/>
    </xf>
    <xf borderId="0" fillId="0" fontId="11" numFmtId="0" xfId="0" applyAlignment="1" applyFont="1">
      <alignment vertical="bottom"/>
    </xf>
    <xf borderId="0" fillId="9" fontId="3" numFmtId="0" xfId="0" applyAlignment="1" applyFill="1" applyFont="1">
      <alignment horizontal="left"/>
    </xf>
    <xf borderId="0" fillId="4" fontId="2" numFmtId="0" xfId="0" applyAlignment="1" applyFill="1" applyFont="1">
      <alignment horizontal="left"/>
    </xf>
    <xf borderId="0" fillId="10" fontId="3" numFmtId="0" xfId="0" applyAlignment="1" applyFill="1" applyFont="1">
      <alignment horizontal="left"/>
    </xf>
    <xf borderId="0" fillId="4" fontId="3" numFmtId="0" xfId="0" applyAlignment="1" applyFill="1" applyFont="1">
      <alignment horizontal="left" readingOrder="0"/>
    </xf>
    <xf borderId="0" fillId="4" fontId="2" numFmtId="167" xfId="0" applyAlignment="1" applyFill="1" applyFont="1" applyNumberFormat="1">
      <alignment horizontal="left" readingOrder="0"/>
    </xf>
    <xf borderId="0" fillId="4" fontId="2" numFmtId="164" xfId="0" applyAlignment="1" applyFill="1" applyFont="1" applyNumberFormat="1">
      <alignment horizontal="left"/>
    </xf>
    <xf borderId="2" fillId="4" fontId="15" numFmtId="164" xfId="0" applyAlignment="1" applyBorder="1" applyFill="1" applyFont="1" applyNumberFormat="1">
      <alignment horizontal="left" vertical="bottom"/>
    </xf>
    <xf borderId="0" fillId="0" fontId="2" numFmtId="164" xfId="0" applyAlignment="1" applyFont="1" applyNumberFormat="1">
      <alignment horizontal="left"/>
    </xf>
    <xf borderId="0" fillId="4" fontId="21" numFmtId="167" xfId="0" applyAlignment="1" applyFill="1" applyFont="1" applyNumberFormat="1">
      <alignment horizontal="left" readingOrder="0"/>
    </xf>
    <xf borderId="0" fillId="0" fontId="2" numFmtId="0" xfId="0" applyAlignment="1" applyFont="1">
      <alignment horizontal="left"/>
    </xf>
    <xf borderId="2" fillId="0" fontId="14" numFmtId="0" xfId="0" applyAlignment="1" applyBorder="1" applyFont="1">
      <alignment horizontal="left" readingOrder="0" vertical="bottom"/>
    </xf>
    <xf borderId="2" fillId="13" fontId="15" numFmtId="10" xfId="0" applyAlignment="1" applyBorder="1" applyFill="1" applyFont="1" applyNumberFormat="1">
      <alignment horizontal="left"/>
    </xf>
    <xf borderId="0" fillId="9" fontId="2" numFmtId="0" xfId="0" applyFill="1" applyFont="1"/>
    <xf borderId="2" fillId="4" fontId="14" numFmtId="0" xfId="0" applyAlignment="1" applyBorder="1" applyFill="1" applyFont="1">
      <alignment horizontal="left" readingOrder="0" vertical="bottom"/>
    </xf>
    <xf borderId="2" fillId="0" fontId="15" numFmtId="0" xfId="0" applyAlignment="1" applyBorder="1" applyFont="1">
      <alignment horizontal="left" readingOrder="0" vertical="bottom"/>
    </xf>
    <xf borderId="0" fillId="4" fontId="21" numFmtId="170" xfId="0" applyAlignment="1" applyFill="1" applyFont="1" applyNumberFormat="1">
      <alignment horizontal="left" readingOrder="0"/>
    </xf>
    <xf borderId="0" fillId="0" fontId="2" numFmtId="10" xfId="0" applyAlignment="1" applyFont="1" applyNumberFormat="1">
      <alignment horizontal="left"/>
    </xf>
    <xf borderId="2" fillId="0" fontId="15" numFmtId="0" xfId="0" applyAlignment="1" applyBorder="1" applyFont="1">
      <alignment horizontal="left" vertical="bottom"/>
    </xf>
    <xf borderId="0" fillId="9" fontId="3" numFmtId="0" xfId="0" applyFill="1" applyFont="1"/>
    <xf borderId="0" fillId="5" fontId="9" numFmtId="0" xfId="0" applyFill="1" applyFont="1"/>
    <xf borderId="2" fillId="0" fontId="15" numFmtId="10" xfId="0" applyAlignment="1" applyBorder="1" applyFont="1" applyNumberFormat="1">
      <alignment horizontal="left" vertical="bottom"/>
    </xf>
    <xf borderId="0" fillId="0" fontId="2" numFmtId="164" xfId="0" applyAlignment="1" applyFont="1" applyNumberFormat="1">
      <alignment horizontal="center"/>
    </xf>
    <xf borderId="2" fillId="11" fontId="18" numFmtId="10" xfId="0" applyAlignment="1" applyBorder="1" applyFill="1" applyFont="1" applyNumberFormat="1">
      <alignment horizontal="left" vertical="bottom"/>
    </xf>
    <xf borderId="0" fillId="0" fontId="2" numFmtId="164" xfId="0" applyFont="1" applyNumberFormat="1"/>
    <xf borderId="0" fillId="11" fontId="22" numFmtId="10" xfId="0" applyAlignment="1" applyFill="1" applyFont="1" applyNumberFormat="1">
      <alignment horizontal="left"/>
    </xf>
    <xf borderId="2" fillId="0" fontId="15" numFmtId="167" xfId="0" applyAlignment="1" applyBorder="1" applyFont="1" applyNumberFormat="1">
      <alignment horizontal="left"/>
    </xf>
    <xf borderId="0" fillId="4" fontId="3" numFmtId="0" xfId="0" applyAlignment="1" applyFill="1" applyFont="1">
      <alignment horizontal="left"/>
    </xf>
    <xf borderId="0" fillId="4" fontId="2" numFmtId="167" xfId="0" applyAlignment="1" applyFill="1" applyFont="1" applyNumberFormat="1">
      <alignment horizontal="left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horizontal="center"/>
    </xf>
    <xf borderId="4" fillId="4" fontId="21" numFmtId="170" xfId="0" applyAlignment="1" applyBorder="1" applyFill="1" applyFont="1" applyNumberFormat="1">
      <alignment horizontal="left" readingOrder="0" shrinkToFit="0" wrapText="1"/>
    </xf>
    <xf borderId="0" fillId="0" fontId="2" numFmtId="0" xfId="0" applyAlignment="1" applyFont="1">
      <alignment horizontal="left" readingOrder="0"/>
    </xf>
    <xf borderId="0" fillId="12" fontId="3" numFmtId="0" xfId="0" applyAlignment="1" applyFill="1" applyFont="1">
      <alignment horizontal="left" readingOrder="0"/>
    </xf>
    <xf borderId="0" fillId="0" fontId="2" numFmtId="9" xfId="0" applyAlignment="1" applyFont="1" applyNumberFormat="1">
      <alignment horizontal="left" readingOrder="0"/>
    </xf>
    <xf borderId="0" fillId="4" fontId="2" numFmtId="164" xfId="0" applyAlignment="1" applyFill="1" applyFont="1" applyNumberFormat="1">
      <alignment horizontal="left" readingOrder="0"/>
    </xf>
    <xf borderId="0" fillId="0" fontId="2" numFmtId="10" xfId="0" applyAlignment="1" applyFont="1" applyNumberFormat="1">
      <alignment horizontal="center"/>
    </xf>
    <xf borderId="0" fillId="4" fontId="17" numFmtId="170" xfId="0" applyAlignment="1" applyFill="1" applyFont="1" applyNumberFormat="1">
      <alignment horizontal="left" readingOrder="0"/>
    </xf>
    <xf borderId="0" fillId="4" fontId="15" numFmtId="167" xfId="0" applyAlignment="1" applyFill="1" applyFont="1" applyNumberFormat="1">
      <alignment horizontal="left" readingOrder="0" vertical="bottom"/>
    </xf>
    <xf borderId="0" fillId="4" fontId="2" numFmtId="164" xfId="0" applyAlignment="1" applyFill="1" applyFont="1" applyNumberFormat="1">
      <alignment horizontal="left" vertical="bottom"/>
    </xf>
    <xf borderId="0" fillId="11" fontId="22" numFmtId="10" xfId="0" applyAlignment="1" applyFill="1" applyFont="1" applyNumberFormat="1">
      <alignment horizontal="center"/>
    </xf>
    <xf borderId="0" fillId="10" fontId="9" numFmtId="0" xfId="0" applyFill="1" applyFont="1"/>
    <xf borderId="0" fillId="4" fontId="2" numFmtId="164" xfId="0" applyAlignment="1" applyFill="1" applyFont="1" applyNumberFormat="1">
      <alignment horizontal="center"/>
    </xf>
    <xf borderId="0" fillId="4" fontId="21" numFmtId="171" xfId="0" applyAlignment="1" applyFill="1" applyFont="1" applyNumberFormat="1">
      <alignment horizontal="left" readingOrder="0"/>
    </xf>
    <xf borderId="0" fillId="12" fontId="3" numFmtId="0" xfId="0" applyAlignment="1" applyFill="1" applyFont="1">
      <alignment horizontal="left"/>
    </xf>
    <xf borderId="0" fillId="4" fontId="11" numFmtId="170" xfId="0" applyAlignment="1" applyFill="1" applyFont="1" applyNumberFormat="1">
      <alignment horizontal="center" readingOrder="0"/>
    </xf>
    <xf borderId="2" fillId="12" fontId="14" numFmtId="0" xfId="0" applyAlignment="1" applyBorder="1" applyFill="1" applyFont="1">
      <alignment horizontal="left" readingOrder="0" vertical="bottom"/>
    </xf>
    <xf borderId="0" fillId="6" fontId="3" numFmtId="0" xfId="0" applyAlignment="1" applyFill="1" applyFont="1">
      <alignment horizontal="left"/>
    </xf>
    <xf borderId="0" fillId="0" fontId="2" numFmtId="164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6" fontId="2" numFmtId="10" xfId="0" applyAlignment="1" applyFill="1" applyFont="1" applyNumberFormat="1">
      <alignment horizontal="left"/>
    </xf>
    <xf borderId="2" fillId="9" fontId="15" numFmtId="0" xfId="0" applyAlignment="1" applyBorder="1" applyFill="1" applyFont="1">
      <alignment horizontal="left"/>
    </xf>
    <xf borderId="0" fillId="6" fontId="23" numFmtId="0" xfId="0" applyAlignment="1" applyFill="1" applyFont="1">
      <alignment horizontal="left"/>
    </xf>
    <xf borderId="0" fillId="12" fontId="9" numFmtId="0" xfId="0" applyFill="1" applyFont="1"/>
    <xf borderId="2" fillId="9" fontId="15" numFmtId="0" xfId="0" applyAlignment="1" applyBorder="1" applyFill="1" applyFont="1">
      <alignment horizontal="left" readingOrder="0"/>
    </xf>
    <xf borderId="0" fillId="4" fontId="2" numFmtId="0" xfId="0" applyAlignment="1" applyFill="1" applyFont="1">
      <alignment horizontal="left" shrinkToFit="0" wrapText="1"/>
    </xf>
    <xf borderId="0" fillId="0" fontId="5" numFmtId="164" xfId="0" applyAlignment="1" applyFont="1" applyNumberFormat="1">
      <alignment horizontal="center" readingOrder="0"/>
    </xf>
    <xf borderId="2" fillId="5" fontId="6" numFmtId="0" xfId="0" applyAlignment="1" applyBorder="1" applyFill="1" applyFont="1">
      <alignment horizontal="left"/>
    </xf>
    <xf borderId="2" fillId="5" fontId="15" numFmtId="0" xfId="0" applyAlignment="1" applyBorder="1" applyFill="1" applyFont="1">
      <alignment horizontal="left" readingOrder="0"/>
    </xf>
    <xf borderId="0" fillId="0" fontId="2" numFmtId="9" xfId="0" applyAlignment="1" applyFont="1" applyNumberFormat="1">
      <alignment readingOrder="0"/>
    </xf>
    <xf borderId="0" fillId="12" fontId="9" numFmtId="0" xfId="0" applyAlignment="1" applyFill="1" applyFont="1">
      <alignment readingOrder="0"/>
    </xf>
    <xf borderId="0" fillId="6" fontId="3" numFmtId="0" xfId="0" applyAlignment="1" applyFill="1" applyFont="1">
      <alignment horizontal="left" vertical="bottom"/>
    </xf>
    <xf borderId="2" fillId="0" fontId="14" numFmtId="0" xfId="0" applyAlignment="1" applyBorder="1" applyFont="1">
      <alignment horizontal="left" vertical="bottom"/>
    </xf>
    <xf borderId="2" fillId="5" fontId="15" numFmtId="0" xfId="0" applyAlignment="1" applyBorder="1" applyFill="1" applyFont="1">
      <alignment horizontal="left"/>
    </xf>
    <xf borderId="2" fillId="5" fontId="14" numFmtId="0" xfId="0" applyAlignment="1" applyBorder="1" applyFill="1" applyFont="1">
      <alignment horizontal="left"/>
    </xf>
    <xf borderId="2" fillId="5" fontId="14" numFmtId="0" xfId="0" applyAlignment="1" applyBorder="1" applyFill="1" applyFont="1">
      <alignment horizontal="left" readingOrder="0"/>
    </xf>
    <xf borderId="0" fillId="13" fontId="2" numFmtId="10" xfId="0" applyAlignment="1" applyFill="1" applyFont="1" applyNumberFormat="1">
      <alignment horizontal="left"/>
    </xf>
    <xf borderId="2" fillId="5" fontId="14" numFmtId="0" xfId="0" applyAlignment="1" applyBorder="1" applyFill="1" applyFont="1">
      <alignment horizontal="left" readingOrder="0" vertical="bottom"/>
    </xf>
    <xf borderId="2" fillId="5" fontId="15" numFmtId="0" xfId="0" applyAlignment="1" applyBorder="1" applyFill="1" applyFont="1">
      <alignment horizontal="left" readingOrder="0" vertical="bottom"/>
    </xf>
    <xf borderId="2" fillId="6" fontId="15" numFmtId="10" xfId="0" applyAlignment="1" applyBorder="1" applyFill="1" applyFont="1" applyNumberFormat="1">
      <alignment horizontal="left" vertical="bottom"/>
    </xf>
    <xf borderId="2" fillId="5" fontId="14" numFmtId="0" xfId="0" applyAlignment="1" applyBorder="1" applyFill="1" applyFont="1">
      <alignment horizontal="left" vertical="bottom"/>
    </xf>
    <xf borderId="0" fillId="4" fontId="2" numFmtId="164" xfId="0" applyAlignment="1" applyFill="1" applyFont="1" applyNumberFormat="1">
      <alignment horizontal="center" readingOrder="0"/>
    </xf>
    <xf borderId="2" fillId="0" fontId="18" numFmtId="0" xfId="0" applyAlignment="1" applyBorder="1" applyFont="1">
      <alignment horizontal="left" readingOrder="0"/>
    </xf>
    <xf borderId="2" fillId="4" fontId="18" numFmtId="0" xfId="0" applyAlignment="1" applyBorder="1" applyFill="1" applyFont="1">
      <alignment horizontal="left" readingOrder="0"/>
    </xf>
    <xf borderId="2" fillId="0" fontId="15" numFmtId="164" xfId="0" applyAlignment="1" applyBorder="1" applyFont="1" applyNumberFormat="1">
      <alignment horizontal="left" readingOrder="0" vertical="bottom"/>
    </xf>
    <xf borderId="0" fillId="4" fontId="2" numFmtId="164" xfId="0" applyAlignment="1" applyFill="1" applyFont="1" applyNumberFormat="1">
      <alignment horizontal="center" vertical="bottom"/>
    </xf>
    <xf borderId="0" fillId="4" fontId="22" numFmtId="0" xfId="0" applyAlignment="1" applyFill="1" applyFont="1">
      <alignment horizontal="left"/>
    </xf>
    <xf borderId="0" fillId="4" fontId="2" numFmtId="164" xfId="0" applyFill="1" applyFont="1" applyNumberFormat="1"/>
    <xf borderId="2" fillId="4" fontId="14" numFmtId="0" xfId="0" applyAlignment="1" applyBorder="1" applyFill="1" applyFont="1">
      <alignment horizontal="left" vertical="bottom"/>
    </xf>
    <xf borderId="0" fillId="7" fontId="9" numFmtId="0" xfId="0" applyFill="1" applyFont="1"/>
    <xf borderId="2" fillId="4" fontId="6" numFmtId="0" xfId="0" applyAlignment="1" applyBorder="1" applyFill="1" applyFont="1">
      <alignment horizontal="left" readingOrder="0"/>
    </xf>
    <xf borderId="0" fillId="4" fontId="2" numFmtId="0" xfId="0" applyAlignment="1" applyFill="1" applyFont="1">
      <alignment horizontal="left" readingOrder="0"/>
    </xf>
    <xf borderId="0" fillId="14" fontId="2" numFmtId="164" xfId="0" applyAlignment="1" applyFill="1" applyFont="1" applyNumberFormat="1">
      <alignment horizontal="left"/>
    </xf>
    <xf borderId="0" fillId="4" fontId="5" numFmtId="164" xfId="0" applyAlignment="1" applyFill="1" applyFont="1" applyNumberFormat="1">
      <alignment horizontal="center" readingOrder="0"/>
    </xf>
    <xf borderId="2" fillId="0" fontId="24" numFmtId="0" xfId="0" applyAlignment="1" applyBorder="1" applyFont="1">
      <alignment readingOrder="0" shrinkToFit="0" vertical="bottom" wrapText="0"/>
    </xf>
    <xf borderId="2" fillId="0" fontId="21" numFmtId="0" xfId="0" applyAlignment="1" applyBorder="1" applyFont="1">
      <alignment readingOrder="0" shrinkToFit="0" vertical="bottom" wrapText="0"/>
    </xf>
    <xf borderId="2" fillId="0" fontId="21" numFmtId="0" xfId="0" applyAlignment="1" applyBorder="1" applyFont="1">
      <alignment shrinkToFit="0" vertical="bottom" wrapText="0"/>
    </xf>
    <xf borderId="2" fillId="5" fontId="24" numFmtId="0" xfId="0" applyAlignment="1" applyBorder="1" applyFill="1" applyFont="1">
      <alignment readingOrder="0" shrinkToFit="0" vertical="bottom" wrapText="0"/>
    </xf>
    <xf borderId="2" fillId="12" fontId="14" numFmtId="0" xfId="0" applyAlignment="1" applyBorder="1" applyFill="1" applyFont="1">
      <alignment horizontal="left"/>
    </xf>
    <xf borderId="2" fillId="5" fontId="21" numFmtId="0" xfId="0" applyAlignment="1" applyBorder="1" applyFill="1" applyFont="1">
      <alignment readingOrder="0" shrinkToFit="0" vertical="bottom" wrapText="0"/>
    </xf>
    <xf borderId="0" fillId="5" fontId="3" numFmtId="0" xfId="0" applyAlignment="1" applyFill="1" applyFont="1">
      <alignment horizontal="left"/>
    </xf>
    <xf borderId="2" fillId="4" fontId="18" numFmtId="0" xfId="0" applyAlignment="1" applyBorder="1" applyFill="1" applyFont="1">
      <alignment horizontal="left"/>
    </xf>
    <xf borderId="2" fillId="5" fontId="24" numFmtId="0" xfId="0" applyAlignment="1" applyBorder="1" applyFill="1" applyFont="1">
      <alignment readingOrder="0" vertical="bottom"/>
    </xf>
    <xf borderId="2" fillId="5" fontId="14" numFmtId="0" xfId="0" applyAlignment="1" applyBorder="1" applyFill="1" applyFont="1">
      <alignment readingOrder="0"/>
    </xf>
    <xf borderId="2" fillId="15" fontId="15" numFmtId="10" xfId="0" applyAlignment="1" applyBorder="1" applyFill="1" applyFont="1" applyNumberFormat="1">
      <alignment horizontal="left"/>
    </xf>
    <xf borderId="0" fillId="15" fontId="2" numFmtId="10" xfId="0" applyAlignment="1" applyFill="1" applyFont="1" applyNumberFormat="1">
      <alignment horizontal="left"/>
    </xf>
    <xf borderId="0" fillId="5" fontId="3" numFmtId="0" xfId="0" applyAlignment="1" applyFill="1" applyFont="1">
      <alignment horizontal="left" readingOrder="0"/>
    </xf>
    <xf borderId="2" fillId="4" fontId="15" numFmtId="0" xfId="0" applyAlignment="1" applyBorder="1" applyFill="1" applyFont="1">
      <alignment horizontal="left" readingOrder="0" vertical="bottom"/>
    </xf>
    <xf borderId="0" fillId="6" fontId="2" numFmtId="10" xfId="0" applyAlignment="1" applyFill="1" applyFont="1" applyNumberFormat="1">
      <alignment horizontal="center"/>
    </xf>
    <xf borderId="2" fillId="4" fontId="18" numFmtId="167" xfId="0" applyAlignment="1" applyBorder="1" applyFill="1" applyFont="1" applyNumberFormat="1">
      <alignment horizontal="left" readingOrder="0"/>
    </xf>
    <xf borderId="0" fillId="6" fontId="10" numFmtId="0" xfId="0" applyFill="1" applyFont="1"/>
    <xf borderId="2" fillId="6" fontId="15" numFmtId="10" xfId="0" applyAlignment="1" applyBorder="1" applyFill="1" applyFont="1" applyNumberFormat="1">
      <alignment horizontal="left"/>
    </xf>
    <xf borderId="2" fillId="0" fontId="24" numFmtId="0" xfId="0" applyAlignment="1" applyBorder="1" applyFont="1">
      <alignment readingOrder="0" vertical="bottom"/>
    </xf>
    <xf borderId="0" fillId="6" fontId="3" numFmtId="0" xfId="0" applyAlignment="1" applyFill="1" applyFont="1">
      <alignment vertical="bottom"/>
    </xf>
    <xf borderId="2" fillId="0" fontId="14" numFmtId="0" xfId="0" applyAlignment="1" applyBorder="1" applyFont="1">
      <alignment readingOrder="0"/>
    </xf>
    <xf borderId="0" fillId="5" fontId="23" numFmtId="0" xfId="0" applyAlignment="1" applyFill="1" applyFont="1">
      <alignment horizontal="left" readingOrder="0"/>
    </xf>
    <xf borderId="2" fillId="0" fontId="15" numFmtId="0" xfId="0" applyAlignment="1" applyBorder="1" applyFont="1">
      <alignment readingOrder="0"/>
    </xf>
    <xf borderId="0" fillId="13" fontId="2" numFmtId="10" xfId="0" applyAlignment="1" applyFill="1" applyFont="1" applyNumberFormat="1">
      <alignment horizontal="center"/>
    </xf>
    <xf borderId="0" fillId="14" fontId="2" numFmtId="164" xfId="0" applyAlignment="1" applyFill="1" applyFont="1" applyNumberFormat="1">
      <alignment horizontal="left" readingOrder="0"/>
    </xf>
    <xf borderId="0" fillId="4" fontId="2" numFmtId="0" xfId="0" applyAlignment="1" applyFill="1" applyFont="1">
      <alignment horizontal="center" readingOrder="0"/>
    </xf>
    <xf borderId="0" fillId="0" fontId="2" numFmtId="167" xfId="0" applyAlignment="1" applyFont="1" applyNumberFormat="1">
      <alignment horizontal="left"/>
    </xf>
    <xf borderId="0" fillId="14" fontId="2" numFmtId="164" xfId="0" applyAlignment="1" applyFill="1" applyFont="1" applyNumberFormat="1">
      <alignment horizontal="center"/>
    </xf>
    <xf borderId="2" fillId="4" fontId="15" numFmtId="167" xfId="0" applyAlignment="1" applyBorder="1" applyFill="1" applyFont="1" applyNumberFormat="1">
      <alignment horizontal="left" readingOrder="0"/>
    </xf>
    <xf borderId="0" fillId="4" fontId="22" numFmtId="167" xfId="0" applyAlignment="1" applyFill="1" applyFont="1" applyNumberFormat="1">
      <alignment horizontal="left" readingOrder="0"/>
    </xf>
    <xf borderId="2" fillId="4" fontId="15" numFmtId="0" xfId="0" applyAlignment="1" applyBorder="1" applyFill="1" applyFont="1">
      <alignment horizontal="left" vertical="bottom"/>
    </xf>
    <xf borderId="0" fillId="0" fontId="5" numFmtId="164" xfId="0" applyAlignment="1" applyFont="1" applyNumberFormat="1">
      <alignment horizontal="left" readingOrder="0"/>
    </xf>
    <xf borderId="2" fillId="16" fontId="15" numFmtId="10" xfId="0" applyAlignment="1" applyBorder="1" applyFill="1" applyFont="1" applyNumberFormat="1">
      <alignment horizontal="left"/>
    </xf>
    <xf borderId="0" fillId="15" fontId="2" numFmtId="10" xfId="0" applyAlignment="1" applyFill="1" applyFont="1" applyNumberFormat="1">
      <alignment horizontal="center"/>
    </xf>
    <xf borderId="0" fillId="5" fontId="9" numFmtId="0" xfId="0" applyAlignment="1" applyFill="1" applyFont="1">
      <alignment readingOrder="0"/>
    </xf>
    <xf borderId="0" fillId="4" fontId="17" numFmtId="172" xfId="0" applyAlignment="1" applyFill="1" applyFont="1" applyNumberFormat="1">
      <alignment horizontal="left" readingOrder="0"/>
    </xf>
    <xf borderId="2" fillId="4" fontId="19" numFmtId="164" xfId="0" applyAlignment="1" applyBorder="1" applyFill="1" applyFont="1" applyNumberFormat="1">
      <alignment horizontal="left" readingOrder="0"/>
    </xf>
    <xf borderId="0" fillId="5" fontId="10" numFmtId="0" xfId="0" applyFill="1" applyFont="1"/>
    <xf borderId="4" fillId="4" fontId="17" numFmtId="0" xfId="0" applyAlignment="1" applyBorder="1" applyFill="1" applyFont="1">
      <alignment horizontal="left" readingOrder="0" shrinkToFit="0" wrapText="1"/>
    </xf>
    <xf borderId="0" fillId="5" fontId="10" numFmtId="0" xfId="0" applyAlignment="1" applyFill="1" applyFont="1">
      <alignment readingOrder="0"/>
    </xf>
    <xf borderId="0" fillId="0" fontId="2" numFmtId="164" xfId="0" applyAlignment="1" applyFont="1" applyNumberFormat="1">
      <alignment horizontal="center" readingOrder="0" vertical="bottom"/>
    </xf>
    <xf borderId="2" fillId="4" fontId="15" numFmtId="169" xfId="0" applyAlignment="1" applyBorder="1" applyFill="1" applyFont="1" applyNumberFormat="1">
      <alignment horizontal="left" readingOrder="0"/>
    </xf>
    <xf borderId="2" fillId="6" fontId="15" numFmtId="164" xfId="0" applyAlignment="1" applyBorder="1" applyFill="1" applyFont="1" applyNumberFormat="1">
      <alignment horizontal="left" readingOrder="0"/>
    </xf>
    <xf borderId="0" fillId="14" fontId="2" numFmtId="164" xfId="0" applyAlignment="1" applyFill="1" applyFont="1" applyNumberFormat="1">
      <alignment horizontal="center" readingOrder="0"/>
    </xf>
    <xf borderId="2" fillId="0" fontId="25" numFmtId="0" xfId="0" applyAlignment="1" applyBorder="1" applyFont="1">
      <alignment horizontal="left" readingOrder="0"/>
    </xf>
    <xf borderId="2" fillId="0" fontId="19" numFmtId="0" xfId="0" applyAlignment="1" applyBorder="1" applyFont="1">
      <alignment horizontal="left"/>
    </xf>
    <xf borderId="0" fillId="0" fontId="3" numFmtId="0" xfId="0" applyAlignment="1" applyFont="1">
      <alignment horizontal="left"/>
    </xf>
    <xf borderId="2" fillId="0" fontId="19" numFmtId="0" xfId="0" applyAlignment="1" applyBorder="1" applyFont="1">
      <alignment horizontal="left" readingOrder="0"/>
    </xf>
    <xf borderId="2" fillId="0" fontId="19" numFmtId="164" xfId="0" applyAlignment="1" applyBorder="1" applyFont="1" applyNumberFormat="1">
      <alignment horizontal="left"/>
    </xf>
    <xf borderId="2" fillId="4" fontId="21" numFmtId="172" xfId="0" applyAlignment="1" applyBorder="1" applyFill="1" applyFont="1" applyNumberFormat="1">
      <alignment horizontal="left" readingOrder="0"/>
    </xf>
    <xf borderId="0" fillId="4" fontId="2" numFmtId="0" xfId="0" applyAlignment="1" applyFill="1" applyFont="1">
      <alignment horizontal="left" vertical="bottom"/>
    </xf>
    <xf borderId="2" fillId="4" fontId="17" numFmtId="172" xfId="0" applyAlignment="1" applyBorder="1" applyFill="1" applyFont="1" applyNumberFormat="1">
      <alignment horizontal="left" readingOrder="0"/>
    </xf>
    <xf borderId="2" fillId="4" fontId="17" numFmtId="170" xfId="0" applyAlignment="1" applyBorder="1" applyFill="1" applyFont="1" applyNumberFormat="1">
      <alignment horizontal="left" readingOrder="0"/>
    </xf>
    <xf borderId="0" fillId="16" fontId="2" numFmtId="10" xfId="0" applyAlignment="1" applyFill="1" applyFont="1" applyNumberFormat="1">
      <alignment horizontal="left"/>
    </xf>
    <xf borderId="2" fillId="4" fontId="21" numFmtId="0" xfId="0" applyAlignment="1" applyBorder="1" applyFill="1" applyFont="1">
      <alignment horizontal="left" readingOrder="0"/>
    </xf>
    <xf borderId="2" fillId="4" fontId="17" numFmtId="0" xfId="0" applyAlignment="1" applyBorder="1" applyFill="1" applyFont="1">
      <alignment horizontal="left" readingOrder="0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0" fillId="0" fontId="2" numFmtId="169" xfId="0" applyAlignment="1" applyFont="1" applyNumberFormat="1">
      <alignment horizontal="left" vertical="bottom"/>
    </xf>
    <xf borderId="0" fillId="0" fontId="15" numFmtId="167" xfId="0" applyAlignment="1" applyFont="1" applyNumberFormat="1">
      <alignment horizontal="left" readingOrder="0"/>
    </xf>
    <xf borderId="0" fillId="0" fontId="22" numFmtId="167" xfId="0" applyAlignment="1" applyFont="1" applyNumberFormat="1">
      <alignment horizontal="left" readingOrder="0"/>
    </xf>
    <xf borderId="0" fillId="0" fontId="2" numFmtId="10" xfId="0" applyAlignment="1" applyFont="1" applyNumberFormat="1">
      <alignment horizontal="left" vertical="bottom"/>
    </xf>
    <xf borderId="0" fillId="11" fontId="22" numFmtId="10" xfId="0" applyAlignment="1" applyFill="1" applyFont="1" applyNumberFormat="1">
      <alignment horizontal="left" vertical="bottom"/>
    </xf>
    <xf borderId="0" fillId="0" fontId="15" numFmtId="167" xfId="0" applyAlignment="1" applyFont="1" applyNumberFormat="1">
      <alignment horizontal="left"/>
    </xf>
    <xf borderId="0" fillId="12" fontId="3" numFmtId="0" xfId="0" applyFill="1" applyFont="1"/>
    <xf borderId="0" fillId="12" fontId="3" numFmtId="0" xfId="0" applyAlignment="1" applyFill="1" applyFont="1">
      <alignment horizontal="left" readingOrder="0" vertical="bottom"/>
    </xf>
    <xf borderId="0" fillId="0" fontId="19" numFmtId="0" xfId="0" applyAlignment="1" applyFont="1">
      <alignment horizontal="left" readingOrder="0"/>
    </xf>
    <xf borderId="0" fillId="0" fontId="20" numFmtId="0" xfId="0" applyFont="1"/>
    <xf borderId="2" fillId="0" fontId="14" numFmtId="0" xfId="0" applyAlignment="1" applyBorder="1" applyFont="1">
      <alignment horizontal="left" readingOrder="0"/>
    </xf>
    <xf borderId="0" fillId="0" fontId="20" numFmtId="167" xfId="0" applyAlignment="1" applyFont="1" applyNumberFormat="1">
      <alignment horizontal="center"/>
    </xf>
    <xf borderId="0" fillId="6" fontId="2" numFmtId="10" xfId="0" applyAlignment="1" applyFill="1" applyFont="1" applyNumberFormat="1">
      <alignment horizontal="left" vertical="bottom"/>
    </xf>
    <xf borderId="0" fillId="4" fontId="3" numFmtId="0" xfId="0" applyAlignment="1" applyFill="1" applyFont="1">
      <alignment horizontal="left" vertical="bottom"/>
    </xf>
    <xf borderId="0" fillId="0" fontId="2" numFmtId="170" xfId="0" applyAlignment="1" applyFont="1" applyNumberFormat="1">
      <alignment horizontal="left" readingOrder="0" vertical="bottom"/>
    </xf>
    <xf borderId="0" fillId="4" fontId="3" numFmtId="0" xfId="0" applyAlignment="1" applyFill="1" applyFont="1">
      <alignment horizontal="left" readingOrder="0" vertical="bottom"/>
    </xf>
    <xf borderId="0" fillId="0" fontId="2" numFmtId="0" xfId="0" applyAlignment="1" applyFont="1">
      <alignment horizontal="left" readingOrder="0" vertical="bottom"/>
    </xf>
    <xf borderId="0" fillId="7" fontId="3" numFmtId="0" xfId="0" applyAlignment="1" applyFill="1" applyFont="1">
      <alignment horizontal="left" readingOrder="0"/>
    </xf>
    <xf borderId="0" fillId="0" fontId="2" numFmtId="167" xfId="0" applyAlignment="1" applyFont="1" applyNumberFormat="1">
      <alignment horizontal="left" readingOrder="0"/>
    </xf>
    <xf borderId="0" fillId="4" fontId="2" numFmtId="0" xfId="0" applyAlignment="1" applyFill="1" applyFont="1">
      <alignment horizontal="center" vertical="bottom"/>
    </xf>
    <xf borderId="0" fillId="4" fontId="15" numFmtId="0" xfId="0" applyAlignment="1" applyFill="1" applyFont="1">
      <alignment horizontal="left" readingOrder="0"/>
    </xf>
    <xf borderId="2" fillId="14" fontId="15" numFmtId="164" xfId="0" applyAlignment="1" applyBorder="1" applyFill="1" applyFont="1" applyNumberFormat="1">
      <alignment horizontal="left"/>
    </xf>
    <xf borderId="0" fillId="0" fontId="3" numFmtId="0" xfId="0" applyAlignment="1" applyFont="1">
      <alignment horizontal="left" readingOrder="0"/>
    </xf>
    <xf borderId="0" fillId="16" fontId="2" numFmtId="10" xfId="0" applyAlignment="1" applyFill="1" applyFont="1" applyNumberFormat="1">
      <alignment horizontal="center"/>
    </xf>
    <xf borderId="0" fillId="0" fontId="5" numFmtId="4" xfId="0" applyAlignment="1" applyFont="1" applyNumberFormat="1">
      <alignment readingOrder="0"/>
    </xf>
    <xf borderId="0" fillId="0" fontId="5" numFmtId="4" xfId="0" applyFont="1" applyNumberFormat="1"/>
    <xf borderId="0" fillId="0" fontId="9" numFmtId="0" xfId="0" applyAlignment="1" applyFont="1">
      <alignment readingOrder="0" vertical="bottom"/>
    </xf>
    <xf borderId="0" fillId="0" fontId="2" numFmtId="169" xfId="0" applyAlignment="1" applyFont="1" applyNumberFormat="1">
      <alignment horizontal="right" vertical="bottom"/>
    </xf>
    <xf borderId="0" fillId="0" fontId="20" numFmtId="167" xfId="0" applyAlignment="1" applyFont="1" applyNumberFormat="1">
      <alignment horizontal="center" readingOrder="0"/>
    </xf>
    <xf borderId="0" fillId="0" fontId="2" numFmtId="0" xfId="0" applyAlignment="1" applyFont="1">
      <alignment horizontal="center" vertical="bottom"/>
    </xf>
    <xf borderId="0" fillId="0" fontId="2" numFmtId="10" xfId="0" applyAlignment="1" applyFont="1" applyNumberFormat="1">
      <alignment horizontal="center" vertical="bottom"/>
    </xf>
    <xf borderId="0" fillId="11" fontId="22" numFmtId="10" xfId="0" applyAlignment="1" applyFill="1" applyFont="1" applyNumberFormat="1">
      <alignment horizontal="center" vertical="bottom"/>
    </xf>
    <xf borderId="0" fillId="5" fontId="3" numFmtId="0" xfId="0" applyAlignment="1" applyFill="1" applyFont="1">
      <alignment vertical="bottom"/>
    </xf>
    <xf borderId="0" fillId="6" fontId="2" numFmtId="10" xfId="0" applyAlignment="1" applyFill="1" applyFont="1" applyNumberFormat="1">
      <alignment horizontal="center" vertical="bottom"/>
    </xf>
    <xf borderId="0" fillId="0" fontId="2" numFmtId="170" xfId="0" applyAlignment="1" applyFont="1" applyNumberFormat="1">
      <alignment horizontal="center" readingOrder="0" vertical="bottom"/>
    </xf>
    <xf borderId="0" fillId="7" fontId="3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32.75"/>
    <col customWidth="1" min="3" max="3" width="8.5"/>
    <col customWidth="1" min="4" max="4" width="20.75"/>
    <col customWidth="1" min="5" max="5" width="29.13"/>
    <col customWidth="1" min="6" max="6" width="17.38"/>
    <col customWidth="1" min="9" max="9" width="2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3" t="s">
        <v>6</v>
      </c>
      <c r="J1" s="3" t="s">
        <v>7</v>
      </c>
      <c r="K1" s="2"/>
      <c r="L1" s="4"/>
      <c r="M1" s="4"/>
      <c r="N1" s="4"/>
      <c r="O1" s="2"/>
    </row>
    <row r="2">
      <c r="A2" s="5">
        <v>1.0</v>
      </c>
      <c r="B2" s="6" t="s">
        <v>8</v>
      </c>
      <c r="C2" s="8" t="s">
        <v>10</v>
      </c>
      <c r="D2" s="9" t="s">
        <v>11</v>
      </c>
      <c r="E2" s="9" t="s">
        <v>12</v>
      </c>
      <c r="F2" s="10">
        <v>1.575E7</v>
      </c>
      <c r="G2" s="11"/>
      <c r="H2" s="11"/>
      <c r="I2" s="12" t="s">
        <v>13</v>
      </c>
      <c r="J2" s="14">
        <v>11.0</v>
      </c>
      <c r="K2" s="11"/>
      <c r="L2" s="11"/>
      <c r="M2" s="15"/>
      <c r="N2" s="11"/>
      <c r="O2" s="2"/>
    </row>
    <row r="3">
      <c r="A3" s="5">
        <v>2.0</v>
      </c>
      <c r="B3" s="6" t="s">
        <v>14</v>
      </c>
      <c r="C3" s="8" t="s">
        <v>15</v>
      </c>
      <c r="D3" s="16" t="s">
        <v>16</v>
      </c>
      <c r="E3" s="9" t="s">
        <v>12</v>
      </c>
      <c r="F3" s="10">
        <v>2.94E7</v>
      </c>
      <c r="G3" s="11"/>
      <c r="H3" s="11"/>
      <c r="I3" s="12" t="s">
        <v>17</v>
      </c>
      <c r="J3" s="14">
        <v>8.0</v>
      </c>
      <c r="K3" s="11"/>
      <c r="L3" s="11"/>
      <c r="M3" s="11"/>
      <c r="N3" s="11"/>
      <c r="O3" s="2"/>
    </row>
    <row r="4">
      <c r="A4" s="5">
        <v>3.0</v>
      </c>
      <c r="B4" s="6" t="s">
        <v>18</v>
      </c>
      <c r="C4" s="8" t="s">
        <v>15</v>
      </c>
      <c r="D4" s="9" t="s">
        <v>19</v>
      </c>
      <c r="E4" s="9" t="s">
        <v>12</v>
      </c>
      <c r="F4" s="10">
        <v>2.1E7</v>
      </c>
      <c r="G4" s="11"/>
      <c r="H4" s="11"/>
      <c r="I4" s="12" t="s">
        <v>20</v>
      </c>
      <c r="J4" s="14">
        <v>7.0</v>
      </c>
      <c r="K4" s="11"/>
      <c r="L4" s="11"/>
      <c r="M4" s="11"/>
      <c r="N4" s="11"/>
      <c r="O4" s="2"/>
    </row>
    <row r="5">
      <c r="A5" s="5">
        <v>4.0</v>
      </c>
      <c r="B5" s="19" t="s">
        <v>22</v>
      </c>
      <c r="C5" s="8" t="s">
        <v>10</v>
      </c>
      <c r="D5" s="20" t="s">
        <v>19</v>
      </c>
      <c r="E5" s="20" t="s">
        <v>12</v>
      </c>
      <c r="F5" s="10">
        <v>2.1E7</v>
      </c>
      <c r="G5" s="11"/>
      <c r="H5" s="11"/>
      <c r="I5" s="12" t="s">
        <v>23</v>
      </c>
      <c r="J5" s="14">
        <v>1.0</v>
      </c>
      <c r="K5" s="11"/>
      <c r="L5" s="11"/>
      <c r="M5" s="11"/>
      <c r="N5" s="11"/>
      <c r="O5" s="2"/>
    </row>
    <row r="6">
      <c r="A6" s="5">
        <v>5.0</v>
      </c>
      <c r="B6" s="6" t="s">
        <v>24</v>
      </c>
      <c r="C6" s="8" t="s">
        <v>10</v>
      </c>
      <c r="D6" s="9" t="s">
        <v>25</v>
      </c>
      <c r="E6" s="9" t="s">
        <v>12</v>
      </c>
      <c r="F6" s="10">
        <v>2.2E7</v>
      </c>
      <c r="G6" s="11"/>
      <c r="H6" s="11"/>
      <c r="I6" s="22" t="s">
        <v>27</v>
      </c>
      <c r="J6" s="14">
        <v>6.0</v>
      </c>
      <c r="K6" s="11"/>
      <c r="L6" s="11"/>
      <c r="M6" s="11"/>
      <c r="N6" s="11"/>
      <c r="O6" s="2"/>
    </row>
    <row r="7">
      <c r="A7" s="5">
        <v>6.0</v>
      </c>
      <c r="B7" s="6" t="s">
        <v>28</v>
      </c>
      <c r="C7" s="8" t="s">
        <v>10</v>
      </c>
      <c r="D7" s="9" t="s">
        <v>19</v>
      </c>
      <c r="E7" s="9" t="s">
        <v>12</v>
      </c>
      <c r="F7" s="10">
        <v>2.1E7</v>
      </c>
      <c r="G7" s="11"/>
      <c r="H7" s="11"/>
      <c r="I7" s="23" t="s">
        <v>29</v>
      </c>
      <c r="J7" s="14">
        <v>1.0</v>
      </c>
      <c r="K7" s="11"/>
      <c r="L7" s="11"/>
      <c r="M7" s="11"/>
      <c r="N7" s="11"/>
      <c r="O7" s="2"/>
    </row>
    <row r="8">
      <c r="A8" s="5">
        <v>7.0</v>
      </c>
      <c r="B8" s="6" t="s">
        <v>31</v>
      </c>
      <c r="C8" s="8" t="s">
        <v>15</v>
      </c>
      <c r="D8" s="9" t="s">
        <v>32</v>
      </c>
      <c r="E8" s="8" t="s">
        <v>33</v>
      </c>
      <c r="F8" s="10">
        <v>2.2387E7</v>
      </c>
      <c r="G8" s="11"/>
      <c r="H8" s="11"/>
      <c r="I8" s="23" t="s">
        <v>34</v>
      </c>
      <c r="J8" s="14">
        <v>1.0</v>
      </c>
      <c r="K8" s="11"/>
      <c r="L8" s="11"/>
      <c r="M8" s="11"/>
      <c r="N8" s="11"/>
      <c r="O8" s="2"/>
    </row>
    <row r="9">
      <c r="A9" s="5">
        <v>8.0</v>
      </c>
      <c r="B9" s="6" t="s">
        <v>35</v>
      </c>
      <c r="C9" s="8" t="s">
        <v>15</v>
      </c>
      <c r="D9" s="20" t="s">
        <v>16</v>
      </c>
      <c r="E9" s="9" t="s">
        <v>12</v>
      </c>
      <c r="F9" s="10">
        <v>2.94E7</v>
      </c>
      <c r="G9" s="11"/>
      <c r="H9" s="11"/>
      <c r="I9" s="23" t="s">
        <v>38</v>
      </c>
      <c r="J9" s="14">
        <v>4.0</v>
      </c>
      <c r="K9" s="11"/>
      <c r="L9" s="11"/>
      <c r="M9" s="11"/>
      <c r="N9" s="11"/>
      <c r="O9" s="2"/>
    </row>
    <row r="10">
      <c r="A10" s="5">
        <v>9.0</v>
      </c>
      <c r="B10" s="26" t="s">
        <v>39</v>
      </c>
      <c r="C10" s="8" t="s">
        <v>10</v>
      </c>
      <c r="D10" s="9" t="s">
        <v>32</v>
      </c>
      <c r="E10" s="8" t="s">
        <v>33</v>
      </c>
      <c r="F10" s="10">
        <v>2.2387E7</v>
      </c>
      <c r="G10" s="11"/>
      <c r="H10" s="11"/>
      <c r="I10" s="23" t="s">
        <v>40</v>
      </c>
      <c r="J10" s="14">
        <v>2.0</v>
      </c>
      <c r="K10" s="28"/>
      <c r="L10" s="28"/>
      <c r="M10" s="28"/>
      <c r="N10" s="28"/>
      <c r="O10" s="2"/>
    </row>
    <row r="11">
      <c r="A11" s="5">
        <v>10.0</v>
      </c>
      <c r="B11" s="30" t="s">
        <v>42</v>
      </c>
      <c r="C11" s="8" t="s">
        <v>10</v>
      </c>
      <c r="D11" s="9" t="s">
        <v>19</v>
      </c>
      <c r="E11" s="9" t="s">
        <v>12</v>
      </c>
      <c r="F11" s="10">
        <v>2.1E7</v>
      </c>
      <c r="G11" s="11"/>
      <c r="H11" s="11"/>
      <c r="I11" s="23" t="s">
        <v>43</v>
      </c>
      <c r="J11" s="32">
        <v>12.0</v>
      </c>
      <c r="K11" s="28"/>
      <c r="L11" s="28"/>
      <c r="M11" s="28"/>
      <c r="N11" s="28"/>
      <c r="O11" s="2"/>
    </row>
    <row r="12">
      <c r="A12" s="5">
        <v>11.0</v>
      </c>
      <c r="B12" s="34" t="s">
        <v>45</v>
      </c>
      <c r="C12" s="36" t="s">
        <v>10</v>
      </c>
      <c r="D12" s="9" t="s">
        <v>19</v>
      </c>
      <c r="E12" s="9" t="s">
        <v>12</v>
      </c>
      <c r="F12" s="10">
        <v>2.1E7</v>
      </c>
      <c r="G12" s="40" t="s">
        <v>47</v>
      </c>
      <c r="H12" s="11"/>
      <c r="I12" s="38" t="s">
        <v>46</v>
      </c>
      <c r="J12" s="43">
        <f>SUM(J2:J11)</f>
        <v>53</v>
      </c>
      <c r="K12" s="28"/>
      <c r="L12" s="28"/>
      <c r="M12" s="28"/>
      <c r="N12" s="28"/>
      <c r="O12" s="2"/>
    </row>
    <row r="13">
      <c r="A13" s="2"/>
      <c r="B13" s="2"/>
      <c r="C13" s="2"/>
      <c r="D13" s="2"/>
      <c r="E13" s="2"/>
      <c r="F13" s="35"/>
      <c r="G13" s="2"/>
      <c r="H13" s="11"/>
      <c r="K13" s="2"/>
      <c r="L13" s="2"/>
      <c r="M13" s="2"/>
      <c r="N13" s="2"/>
      <c r="O13" s="2"/>
    </row>
    <row r="14">
      <c r="A14" s="44"/>
      <c r="B14" s="44"/>
      <c r="C14" s="44"/>
      <c r="D14" s="2"/>
      <c r="E14" s="2"/>
      <c r="F14" s="2"/>
      <c r="G14" s="2"/>
      <c r="H14" s="11"/>
      <c r="I14" s="2"/>
      <c r="J14" s="2"/>
      <c r="K14" s="2"/>
      <c r="L14" s="2"/>
      <c r="M14" s="2"/>
      <c r="N14" s="2"/>
      <c r="O14" s="2"/>
    </row>
    <row r="15">
      <c r="A15" s="44"/>
      <c r="B15" s="44"/>
      <c r="C15" s="44"/>
      <c r="D15" s="2"/>
      <c r="E15" s="2"/>
      <c r="F15" s="2"/>
      <c r="G15" s="2"/>
      <c r="H15" s="11"/>
      <c r="I15" s="2"/>
      <c r="J15" s="2"/>
      <c r="K15" s="2"/>
      <c r="L15" s="2"/>
      <c r="M15" s="2"/>
      <c r="N15" s="2"/>
      <c r="O15" s="2"/>
    </row>
    <row r="16">
      <c r="A16" s="44"/>
      <c r="B16" s="44"/>
      <c r="C16" s="44"/>
      <c r="D16" s="2"/>
      <c r="E16" s="2"/>
      <c r="F16" s="2"/>
      <c r="G16" s="2"/>
      <c r="H16" s="11"/>
      <c r="I16" s="2"/>
      <c r="J16" s="2"/>
      <c r="K16" s="2"/>
      <c r="L16" s="2"/>
      <c r="M16" s="2"/>
      <c r="N16" s="2"/>
      <c r="O16" s="2"/>
    </row>
    <row r="17">
      <c r="A17" s="45" t="s">
        <v>0</v>
      </c>
      <c r="B17" s="45" t="s">
        <v>1</v>
      </c>
      <c r="C17" s="45" t="s">
        <v>2</v>
      </c>
      <c r="D17" s="45" t="s">
        <v>3</v>
      </c>
      <c r="E17" s="46"/>
      <c r="F17" s="45" t="s">
        <v>5</v>
      </c>
      <c r="G17" s="2"/>
      <c r="H17" s="11"/>
      <c r="I17" s="2"/>
      <c r="J17" s="2"/>
      <c r="K17" s="2"/>
      <c r="L17" s="2"/>
      <c r="M17" s="2"/>
      <c r="N17" s="2"/>
      <c r="O17" s="2"/>
    </row>
    <row r="18">
      <c r="A18" s="48">
        <v>1.0</v>
      </c>
      <c r="B18" s="6" t="s">
        <v>51</v>
      </c>
      <c r="C18" s="6" t="s">
        <v>10</v>
      </c>
      <c r="D18" s="49" t="s">
        <v>52</v>
      </c>
      <c r="E18" s="9" t="s">
        <v>53</v>
      </c>
      <c r="F18" s="48" t="s">
        <v>54</v>
      </c>
      <c r="G18" s="2"/>
      <c r="H18" s="11"/>
      <c r="I18" s="2"/>
      <c r="J18" s="2"/>
      <c r="K18" s="2"/>
      <c r="L18" s="2"/>
      <c r="M18" s="2"/>
      <c r="N18" s="2"/>
      <c r="O18" s="2"/>
    </row>
    <row r="19">
      <c r="A19" s="48">
        <v>2.0</v>
      </c>
      <c r="B19" s="26" t="s">
        <v>56</v>
      </c>
      <c r="C19" s="6" t="s">
        <v>10</v>
      </c>
      <c r="D19" s="49" t="s">
        <v>52</v>
      </c>
      <c r="E19" s="9" t="s">
        <v>53</v>
      </c>
      <c r="F19" s="48" t="s">
        <v>54</v>
      </c>
      <c r="G19" s="2"/>
      <c r="H19" s="11"/>
      <c r="I19" s="2"/>
      <c r="J19" s="2"/>
      <c r="K19" s="2"/>
      <c r="L19" s="2"/>
      <c r="M19" s="2"/>
      <c r="N19" s="2"/>
      <c r="O19" s="2"/>
    </row>
    <row r="20">
      <c r="A20" s="48">
        <v>3.0</v>
      </c>
      <c r="B20" s="26" t="s">
        <v>57</v>
      </c>
      <c r="C20" s="6" t="s">
        <v>10</v>
      </c>
      <c r="D20" s="49" t="s">
        <v>52</v>
      </c>
      <c r="E20" s="9" t="s">
        <v>53</v>
      </c>
      <c r="F20" s="48" t="s">
        <v>54</v>
      </c>
      <c r="G20" s="2"/>
      <c r="H20" s="11"/>
      <c r="I20" s="2"/>
      <c r="J20" s="2"/>
      <c r="K20" s="2"/>
      <c r="L20" s="2"/>
      <c r="M20" s="2"/>
      <c r="N20" s="2"/>
      <c r="O20" s="2"/>
    </row>
    <row r="21">
      <c r="A21" s="48">
        <v>4.0</v>
      </c>
      <c r="B21" s="52" t="s">
        <v>58</v>
      </c>
      <c r="C21" s="6" t="s">
        <v>10</v>
      </c>
      <c r="D21" s="49" t="s">
        <v>59</v>
      </c>
      <c r="E21" s="9" t="s">
        <v>53</v>
      </c>
      <c r="F21" s="48" t="s">
        <v>54</v>
      </c>
      <c r="G21" s="2"/>
      <c r="H21" s="11"/>
      <c r="I21" s="2"/>
      <c r="J21" s="2"/>
      <c r="K21" s="2"/>
      <c r="L21" s="2"/>
      <c r="M21" s="2"/>
      <c r="N21" s="2"/>
      <c r="O21" s="2"/>
    </row>
    <row r="22">
      <c r="A22" s="48">
        <v>5.0</v>
      </c>
      <c r="B22" s="26" t="s">
        <v>60</v>
      </c>
      <c r="C22" s="6" t="s">
        <v>10</v>
      </c>
      <c r="D22" s="49" t="s">
        <v>52</v>
      </c>
      <c r="E22" s="9" t="s">
        <v>53</v>
      </c>
      <c r="F22" s="48" t="s">
        <v>54</v>
      </c>
      <c r="G22" s="2"/>
      <c r="H22" s="11"/>
      <c r="I22" s="2"/>
      <c r="J22" s="2"/>
      <c r="K22" s="2"/>
      <c r="L22" s="2"/>
      <c r="M22" s="2"/>
      <c r="N22" s="2"/>
      <c r="O22" s="2"/>
    </row>
    <row r="23">
      <c r="A23" s="48">
        <v>6.0</v>
      </c>
      <c r="B23" s="26" t="s">
        <v>61</v>
      </c>
      <c r="C23" s="6" t="s">
        <v>10</v>
      </c>
      <c r="D23" s="49" t="s">
        <v>52</v>
      </c>
      <c r="E23" s="9" t="s">
        <v>53</v>
      </c>
      <c r="F23" s="48" t="s">
        <v>54</v>
      </c>
      <c r="G23" s="2"/>
      <c r="H23" s="11"/>
      <c r="I23" s="2"/>
      <c r="J23" s="2"/>
      <c r="K23" s="2"/>
      <c r="L23" s="2"/>
      <c r="M23" s="2"/>
      <c r="N23" s="2"/>
      <c r="O23" s="2"/>
    </row>
    <row r="24">
      <c r="A24" s="48">
        <v>7.0</v>
      </c>
      <c r="B24" s="26" t="s">
        <v>62</v>
      </c>
      <c r="C24" s="6" t="s">
        <v>10</v>
      </c>
      <c r="D24" s="49" t="s">
        <v>52</v>
      </c>
      <c r="E24" s="9" t="s">
        <v>53</v>
      </c>
      <c r="F24" s="48" t="s">
        <v>54</v>
      </c>
      <c r="G24" s="2"/>
      <c r="H24" s="11"/>
      <c r="I24" s="2"/>
      <c r="J24" s="2"/>
      <c r="K24" s="2"/>
      <c r="L24" s="2"/>
      <c r="M24" s="2"/>
      <c r="N24" s="2"/>
      <c r="O24" s="2"/>
    </row>
    <row r="25">
      <c r="A25" s="48">
        <v>8.0</v>
      </c>
      <c r="B25" s="26" t="s">
        <v>64</v>
      </c>
      <c r="C25" s="6" t="s">
        <v>10</v>
      </c>
      <c r="D25" s="49" t="s">
        <v>52</v>
      </c>
      <c r="E25" s="9" t="s">
        <v>53</v>
      </c>
      <c r="F25" s="48" t="s">
        <v>54</v>
      </c>
      <c r="G25" s="2"/>
      <c r="H25" s="11"/>
      <c r="I25" s="2"/>
      <c r="J25" s="2"/>
      <c r="K25" s="2"/>
      <c r="L25" s="2"/>
      <c r="M25" s="2"/>
      <c r="N25" s="2"/>
      <c r="O25" s="2"/>
    </row>
    <row r="26">
      <c r="A26" s="48">
        <v>9.0</v>
      </c>
      <c r="B26" s="26" t="s">
        <v>65</v>
      </c>
      <c r="C26" s="6" t="s">
        <v>10</v>
      </c>
      <c r="D26" s="49" t="s">
        <v>52</v>
      </c>
      <c r="E26" s="9" t="s">
        <v>53</v>
      </c>
      <c r="F26" s="48" t="s">
        <v>54</v>
      </c>
      <c r="G26" s="2"/>
      <c r="H26" s="11"/>
      <c r="I26" s="2"/>
      <c r="J26" s="2"/>
      <c r="K26" s="2"/>
      <c r="L26" s="2"/>
      <c r="M26" s="2"/>
      <c r="N26" s="2"/>
      <c r="O26" s="2"/>
    </row>
    <row r="27">
      <c r="A27" s="48">
        <v>10.0</v>
      </c>
      <c r="B27" s="26" t="s">
        <v>66</v>
      </c>
      <c r="C27" s="6" t="s">
        <v>10</v>
      </c>
      <c r="D27" s="49" t="s">
        <v>52</v>
      </c>
      <c r="E27" s="9" t="s">
        <v>53</v>
      </c>
      <c r="F27" s="48" t="s">
        <v>54</v>
      </c>
      <c r="G27" s="2"/>
      <c r="H27" s="11"/>
      <c r="I27" s="2"/>
      <c r="J27" s="2"/>
      <c r="K27" s="2"/>
      <c r="L27" s="2"/>
      <c r="M27" s="2"/>
      <c r="N27" s="2"/>
      <c r="O27" s="2"/>
    </row>
    <row r="28">
      <c r="A28" s="60">
        <v>11.0</v>
      </c>
      <c r="B28" s="61" t="s">
        <v>67</v>
      </c>
      <c r="C28" s="6" t="s">
        <v>10</v>
      </c>
      <c r="D28" s="49" t="s">
        <v>52</v>
      </c>
      <c r="E28" s="8" t="s">
        <v>53</v>
      </c>
      <c r="F28" s="48" t="s">
        <v>54</v>
      </c>
      <c r="G28" s="2"/>
      <c r="H28" s="11"/>
      <c r="I28" s="2"/>
      <c r="J28" s="2"/>
      <c r="K28" s="2"/>
      <c r="L28" s="2"/>
      <c r="M28" s="2"/>
      <c r="N28" s="2"/>
      <c r="O28" s="2"/>
    </row>
    <row r="29">
      <c r="A29" s="60">
        <v>12.0</v>
      </c>
      <c r="B29" s="6" t="s">
        <v>68</v>
      </c>
      <c r="C29" s="62" t="s">
        <v>10</v>
      </c>
      <c r="D29" s="49" t="s">
        <v>52</v>
      </c>
      <c r="E29" s="8" t="s">
        <v>53</v>
      </c>
      <c r="F29" s="48" t="s">
        <v>54</v>
      </c>
      <c r="G29" s="2"/>
      <c r="H29" s="11"/>
      <c r="I29" s="2"/>
      <c r="J29" s="2"/>
      <c r="K29" s="2"/>
      <c r="L29" s="2"/>
      <c r="M29" s="2"/>
      <c r="N29" s="2"/>
      <c r="O29" s="2"/>
    </row>
    <row r="30">
      <c r="A30" s="2"/>
      <c r="B30" s="63"/>
      <c r="C30" s="2"/>
      <c r="D30" s="64"/>
      <c r="E30" s="63"/>
      <c r="F30" s="2"/>
      <c r="G30" s="2"/>
      <c r="H30" s="11"/>
      <c r="I30" s="2"/>
      <c r="J30" s="2"/>
      <c r="K30" s="2"/>
      <c r="L30" s="2"/>
      <c r="M30" s="2"/>
      <c r="N30" s="2"/>
      <c r="O30" s="2"/>
    </row>
    <row r="31">
      <c r="H31" s="11"/>
      <c r="I31" s="2"/>
      <c r="J31" s="2"/>
      <c r="K31" s="2"/>
      <c r="L31" s="2"/>
      <c r="M31" s="2"/>
      <c r="N31" s="2"/>
      <c r="O31" s="2"/>
    </row>
    <row r="32">
      <c r="H32" s="11"/>
      <c r="I32" s="2"/>
      <c r="J32" s="2"/>
      <c r="K32" s="2"/>
      <c r="L32" s="2"/>
      <c r="M32" s="2"/>
      <c r="N32" s="2"/>
      <c r="O32" s="2"/>
    </row>
    <row r="33">
      <c r="H33" s="11"/>
      <c r="I33" s="2"/>
      <c r="J33" s="2"/>
      <c r="K33" s="2"/>
      <c r="L33" s="2"/>
      <c r="M33" s="2"/>
      <c r="N33" s="2"/>
      <c r="O33" s="2"/>
    </row>
    <row r="34">
      <c r="A34" s="45" t="s">
        <v>0</v>
      </c>
      <c r="B34" s="45" t="s">
        <v>1</v>
      </c>
      <c r="C34" s="45" t="s">
        <v>2</v>
      </c>
      <c r="D34" s="45" t="s">
        <v>3</v>
      </c>
      <c r="E34" s="46"/>
      <c r="F34" s="45" t="s">
        <v>5</v>
      </c>
      <c r="H34" s="11"/>
      <c r="I34" s="2"/>
      <c r="J34" s="2"/>
      <c r="K34" s="2"/>
      <c r="L34" s="2"/>
      <c r="M34" s="2"/>
      <c r="N34" s="2"/>
      <c r="O34" s="2"/>
    </row>
    <row r="35">
      <c r="A35" s="48">
        <v>1.0</v>
      </c>
      <c r="B35" s="26" t="s">
        <v>71</v>
      </c>
      <c r="C35" s="26" t="s">
        <v>15</v>
      </c>
      <c r="D35" s="50" t="s">
        <v>72</v>
      </c>
      <c r="E35" s="50" t="s">
        <v>73</v>
      </c>
      <c r="F35" s="71">
        <v>2.0E7</v>
      </c>
      <c r="H35" s="11"/>
      <c r="I35" s="2"/>
      <c r="J35" s="2"/>
      <c r="K35" s="2"/>
      <c r="L35" s="2"/>
      <c r="M35" s="2"/>
      <c r="N35" s="2"/>
      <c r="O35" s="2"/>
    </row>
    <row r="36">
      <c r="A36" s="48">
        <v>2.0</v>
      </c>
      <c r="B36" s="26" t="s">
        <v>75</v>
      </c>
      <c r="C36" s="26" t="s">
        <v>15</v>
      </c>
      <c r="D36" s="50" t="s">
        <v>72</v>
      </c>
      <c r="E36" s="50" t="s">
        <v>73</v>
      </c>
      <c r="F36" s="71">
        <v>2.0E7</v>
      </c>
      <c r="H36" s="11"/>
      <c r="I36" s="2"/>
      <c r="J36" s="2"/>
      <c r="K36" s="2"/>
      <c r="L36" s="2"/>
      <c r="M36" s="2"/>
      <c r="N36" s="2"/>
      <c r="O36" s="2"/>
    </row>
    <row r="37">
      <c r="A37" s="48">
        <v>3.0</v>
      </c>
      <c r="B37" s="26" t="s">
        <v>76</v>
      </c>
      <c r="C37" s="26" t="s">
        <v>15</v>
      </c>
      <c r="D37" s="50" t="s">
        <v>72</v>
      </c>
      <c r="E37" s="50" t="s">
        <v>73</v>
      </c>
      <c r="F37" s="71">
        <v>2.0E7</v>
      </c>
      <c r="G37" s="2"/>
      <c r="H37" s="11"/>
      <c r="I37" s="2"/>
      <c r="J37" s="2"/>
      <c r="K37" s="2"/>
      <c r="L37" s="2"/>
      <c r="M37" s="2"/>
      <c r="N37" s="2"/>
      <c r="O37" s="2"/>
    </row>
    <row r="38">
      <c r="A38" s="48">
        <v>4.0</v>
      </c>
      <c r="B38" s="72" t="s">
        <v>78</v>
      </c>
      <c r="C38" s="26" t="s">
        <v>15</v>
      </c>
      <c r="D38" s="50" t="s">
        <v>72</v>
      </c>
      <c r="E38" s="50" t="s">
        <v>73</v>
      </c>
      <c r="F38" s="71">
        <v>2.0E7</v>
      </c>
      <c r="G38" s="2"/>
      <c r="H38" s="11"/>
      <c r="I38" s="2"/>
      <c r="J38" s="2"/>
      <c r="K38" s="2"/>
      <c r="L38" s="2"/>
      <c r="M38" s="2"/>
      <c r="N38" s="2"/>
      <c r="O38" s="2"/>
    </row>
    <row r="39">
      <c r="G39" s="44"/>
      <c r="H39" s="28"/>
      <c r="I39" s="44"/>
      <c r="J39" s="44"/>
      <c r="K39" s="44"/>
      <c r="L39" s="44"/>
      <c r="M39" s="44"/>
      <c r="N39" s="44"/>
      <c r="O39" s="44"/>
    </row>
    <row r="40">
      <c r="G40" s="74"/>
      <c r="H40" s="11"/>
      <c r="I40" s="74"/>
      <c r="J40" s="74"/>
      <c r="K40" s="74"/>
      <c r="L40" s="74"/>
      <c r="M40" s="74"/>
      <c r="N40" s="74"/>
      <c r="O40" s="2"/>
    </row>
    <row r="41">
      <c r="G41" s="74"/>
      <c r="H41" s="11"/>
      <c r="I41" s="74"/>
      <c r="J41" s="74"/>
      <c r="K41" s="74"/>
      <c r="L41" s="74"/>
      <c r="M41" s="74"/>
      <c r="N41" s="74"/>
      <c r="O41" s="2"/>
    </row>
    <row r="42">
      <c r="A42" s="45" t="s">
        <v>0</v>
      </c>
      <c r="B42" s="45" t="s">
        <v>1</v>
      </c>
      <c r="C42" s="46"/>
      <c r="D42" s="45" t="s">
        <v>3</v>
      </c>
      <c r="E42" s="46"/>
      <c r="F42" s="45" t="s">
        <v>5</v>
      </c>
      <c r="G42" s="75"/>
      <c r="H42" s="11"/>
      <c r="I42" s="74"/>
      <c r="J42" s="74"/>
      <c r="K42" s="74"/>
      <c r="L42" s="74"/>
      <c r="M42" s="74"/>
      <c r="N42" s="74"/>
      <c r="O42" s="2"/>
    </row>
    <row r="43">
      <c r="A43" s="48">
        <v>1.0</v>
      </c>
      <c r="B43" s="26" t="s">
        <v>80</v>
      </c>
      <c r="C43" s="9" t="s">
        <v>10</v>
      </c>
      <c r="D43" s="50" t="s">
        <v>81</v>
      </c>
      <c r="E43" s="50" t="s">
        <v>82</v>
      </c>
      <c r="F43" s="76">
        <v>2.185E7</v>
      </c>
      <c r="G43" s="74"/>
      <c r="H43" s="11"/>
      <c r="I43" s="74"/>
      <c r="J43" s="74"/>
      <c r="K43" s="74"/>
      <c r="L43" s="74"/>
      <c r="M43" s="74"/>
      <c r="N43" s="74"/>
      <c r="O43" s="2"/>
    </row>
    <row r="44">
      <c r="A44" s="2"/>
      <c r="B44" s="2"/>
      <c r="C44" s="2"/>
      <c r="D44" s="2"/>
      <c r="E44" s="2"/>
      <c r="F44" s="2"/>
      <c r="G44" s="2"/>
      <c r="H44" s="11"/>
      <c r="I44" s="2"/>
      <c r="J44" s="2"/>
      <c r="K44" s="2"/>
      <c r="L44" s="2"/>
      <c r="M44" s="2"/>
      <c r="N44" s="2"/>
      <c r="O44" s="2"/>
    </row>
    <row r="45">
      <c r="A45" s="2"/>
      <c r="B45" s="2"/>
      <c r="C45" s="2"/>
      <c r="D45" s="2"/>
      <c r="E45" s="2"/>
      <c r="F45" s="2"/>
      <c r="G45" s="2"/>
      <c r="H45" s="11"/>
      <c r="I45" s="2"/>
      <c r="J45" s="2"/>
      <c r="K45" s="2"/>
      <c r="L45" s="2"/>
      <c r="M45" s="2"/>
      <c r="N45" s="2"/>
      <c r="O45" s="2"/>
    </row>
    <row r="46">
      <c r="A46" s="2"/>
      <c r="B46" s="2"/>
      <c r="C46" s="2"/>
      <c r="D46" s="2"/>
      <c r="E46" s="2"/>
      <c r="F46" s="2"/>
      <c r="G46" s="2"/>
      <c r="H46" s="11"/>
      <c r="I46" s="2"/>
      <c r="J46" s="2"/>
      <c r="K46" s="2"/>
      <c r="L46" s="2"/>
      <c r="M46" s="2"/>
      <c r="N46" s="2"/>
      <c r="O46" s="2"/>
    </row>
    <row r="47">
      <c r="A47" s="45" t="s">
        <v>0</v>
      </c>
      <c r="B47" s="45" t="s">
        <v>1</v>
      </c>
      <c r="C47" s="46"/>
      <c r="D47" s="45" t="s">
        <v>3</v>
      </c>
      <c r="E47" s="46"/>
      <c r="F47" s="45" t="s">
        <v>5</v>
      </c>
      <c r="G47" s="44"/>
      <c r="H47" s="11"/>
      <c r="I47" s="2"/>
      <c r="J47" s="2"/>
      <c r="K47" s="2"/>
      <c r="L47" s="2"/>
      <c r="M47" s="2"/>
      <c r="N47" s="2"/>
      <c r="O47" s="2"/>
    </row>
    <row r="48">
      <c r="A48" s="60">
        <v>1.0</v>
      </c>
      <c r="B48" s="6" t="s">
        <v>87</v>
      </c>
      <c r="C48" s="9" t="s">
        <v>10</v>
      </c>
      <c r="D48" s="50" t="s">
        <v>81</v>
      </c>
      <c r="E48" s="50" t="s">
        <v>88</v>
      </c>
      <c r="F48" s="78">
        <v>4.0E7</v>
      </c>
      <c r="G48" s="28"/>
      <c r="H48" s="11"/>
      <c r="I48" s="2"/>
      <c r="J48" s="2"/>
      <c r="K48" s="2"/>
      <c r="L48" s="2"/>
      <c r="M48" s="2"/>
      <c r="N48" s="2"/>
      <c r="O48" s="2"/>
    </row>
    <row r="49">
      <c r="A49" s="60">
        <v>2.0</v>
      </c>
      <c r="B49" s="6" t="s">
        <v>89</v>
      </c>
      <c r="C49" s="8" t="s">
        <v>10</v>
      </c>
      <c r="D49" s="8" t="s">
        <v>90</v>
      </c>
      <c r="E49" s="8" t="s">
        <v>91</v>
      </c>
      <c r="F49" s="62"/>
      <c r="G49" s="44"/>
      <c r="H49" s="11"/>
      <c r="I49" s="2"/>
      <c r="J49" s="2"/>
      <c r="K49" s="2"/>
      <c r="L49" s="2"/>
      <c r="M49" s="2"/>
      <c r="N49" s="2"/>
      <c r="O49" s="2"/>
    </row>
    <row r="50">
      <c r="A50" s="60">
        <v>3.0</v>
      </c>
      <c r="B50" s="6" t="s">
        <v>92</v>
      </c>
      <c r="C50" s="8" t="s">
        <v>10</v>
      </c>
      <c r="D50" s="8" t="s">
        <v>90</v>
      </c>
      <c r="E50" s="8" t="s">
        <v>91</v>
      </c>
      <c r="F50" s="62"/>
      <c r="G50" s="81"/>
      <c r="H50" s="11"/>
      <c r="I50" s="74"/>
      <c r="J50" s="74"/>
      <c r="K50" s="74"/>
      <c r="L50" s="74"/>
      <c r="M50" s="74"/>
      <c r="N50" s="74"/>
      <c r="O50" s="2"/>
    </row>
    <row r="51">
      <c r="A51" s="60">
        <v>4.0</v>
      </c>
      <c r="B51" s="6" t="s">
        <v>94</v>
      </c>
      <c r="C51" s="8" t="s">
        <v>10</v>
      </c>
      <c r="D51" s="8" t="s">
        <v>90</v>
      </c>
      <c r="E51" s="8" t="s">
        <v>91</v>
      </c>
      <c r="F51" s="62"/>
      <c r="G51" s="44"/>
      <c r="H51" s="11"/>
      <c r="I51" s="74"/>
      <c r="J51" s="74"/>
      <c r="K51" s="74"/>
      <c r="L51" s="74"/>
      <c r="M51" s="74"/>
      <c r="N51" s="74"/>
      <c r="O51" s="2"/>
    </row>
    <row r="52">
      <c r="A52" s="60">
        <v>5.0</v>
      </c>
      <c r="B52" s="6" t="s">
        <v>95</v>
      </c>
      <c r="C52" s="8" t="s">
        <v>10</v>
      </c>
      <c r="D52" s="8" t="s">
        <v>25</v>
      </c>
      <c r="E52" s="8" t="s">
        <v>96</v>
      </c>
      <c r="F52" s="82"/>
      <c r="G52" s="44"/>
      <c r="H52" s="11"/>
      <c r="I52" s="2"/>
      <c r="J52" s="2"/>
      <c r="K52" s="2"/>
      <c r="L52" s="2"/>
      <c r="M52" s="2"/>
      <c r="N52" s="2"/>
      <c r="O52" s="2"/>
    </row>
    <row r="53">
      <c r="A53" s="48">
        <v>6.0</v>
      </c>
      <c r="B53" s="72" t="s">
        <v>97</v>
      </c>
      <c r="C53" s="50" t="s">
        <v>10</v>
      </c>
      <c r="D53" s="8" t="s">
        <v>90</v>
      </c>
      <c r="E53" s="8" t="s">
        <v>91</v>
      </c>
      <c r="F53" s="50"/>
      <c r="G53" s="81"/>
      <c r="H53" s="11"/>
      <c r="I53" s="2"/>
      <c r="J53" s="2"/>
      <c r="K53" s="2"/>
      <c r="L53" s="2"/>
      <c r="M53" s="2"/>
      <c r="N53" s="2"/>
      <c r="O53" s="2"/>
    </row>
    <row r="54">
      <c r="A54" s="48">
        <v>7.0</v>
      </c>
      <c r="B54" s="72" t="s">
        <v>98</v>
      </c>
      <c r="C54" s="50" t="s">
        <v>10</v>
      </c>
      <c r="D54" s="8" t="s">
        <v>90</v>
      </c>
      <c r="E54" s="8" t="s">
        <v>91</v>
      </c>
      <c r="F54" s="50"/>
      <c r="G54" s="81"/>
      <c r="H54" s="11"/>
      <c r="I54" s="2"/>
      <c r="J54" s="2"/>
      <c r="K54" s="2"/>
      <c r="L54" s="2"/>
      <c r="M54" s="2"/>
      <c r="N54" s="2"/>
      <c r="O54" s="2"/>
    </row>
    <row r="55">
      <c r="A55" s="57">
        <v>8.0</v>
      </c>
      <c r="B55" s="23" t="s">
        <v>100</v>
      </c>
      <c r="C55" s="50" t="s">
        <v>10</v>
      </c>
      <c r="D55" s="50"/>
      <c r="E55" s="57" t="s">
        <v>101</v>
      </c>
      <c r="F55" s="50"/>
      <c r="G55" s="2"/>
      <c r="H55" s="11"/>
      <c r="I55" s="2"/>
      <c r="J55" s="2"/>
      <c r="K55" s="2"/>
      <c r="L55" s="2"/>
      <c r="M55" s="2"/>
      <c r="N55" s="2"/>
      <c r="O55" s="2"/>
    </row>
    <row r="56">
      <c r="G56" s="44"/>
      <c r="H56" s="11"/>
      <c r="I56" s="2"/>
      <c r="J56" s="2"/>
      <c r="K56" s="2"/>
      <c r="L56" s="2"/>
      <c r="M56" s="2"/>
      <c r="N56" s="2"/>
      <c r="O56" s="2"/>
    </row>
    <row r="57">
      <c r="G57" s="85"/>
      <c r="H57" s="11"/>
      <c r="I57" s="85"/>
      <c r="J57" s="85"/>
      <c r="K57" s="85"/>
      <c r="L57" s="85"/>
      <c r="M57" s="85"/>
      <c r="N57" s="85"/>
      <c r="O57" s="2"/>
    </row>
    <row r="58">
      <c r="A58" s="2"/>
      <c r="B58" s="2"/>
      <c r="C58" s="2"/>
      <c r="D58" s="2"/>
      <c r="E58" s="2"/>
      <c r="F58" s="2"/>
      <c r="G58" s="2"/>
      <c r="H58" s="11"/>
      <c r="I58" s="2"/>
      <c r="J58" s="2"/>
      <c r="K58" s="2"/>
      <c r="L58" s="2"/>
      <c r="M58" s="2"/>
      <c r="N58" s="2"/>
      <c r="O58" s="2"/>
    </row>
    <row r="59">
      <c r="A59" s="2"/>
      <c r="B59" s="2"/>
      <c r="C59" s="2"/>
      <c r="D59" s="2"/>
      <c r="E59" s="2"/>
      <c r="F59" s="2"/>
      <c r="G59" s="2"/>
      <c r="H59" s="11"/>
      <c r="I59" s="2"/>
      <c r="J59" s="2"/>
      <c r="K59" s="2"/>
      <c r="L59" s="2"/>
      <c r="M59" s="2"/>
      <c r="N59" s="2"/>
      <c r="O59" s="2"/>
    </row>
    <row r="60">
      <c r="A60" s="45" t="s">
        <v>0</v>
      </c>
      <c r="B60" s="45" t="s">
        <v>1</v>
      </c>
      <c r="C60" s="46"/>
      <c r="D60" s="45" t="s">
        <v>3</v>
      </c>
      <c r="E60" s="46"/>
      <c r="F60" s="45" t="s">
        <v>5</v>
      </c>
      <c r="H60" s="11"/>
      <c r="I60" s="2"/>
      <c r="J60" s="2"/>
      <c r="K60" s="2"/>
      <c r="L60" s="2"/>
      <c r="M60" s="2"/>
      <c r="N60" s="2"/>
      <c r="O60" s="2"/>
    </row>
    <row r="61">
      <c r="A61" s="60">
        <v>1.0</v>
      </c>
      <c r="B61" s="6" t="s">
        <v>83</v>
      </c>
      <c r="C61" s="9" t="s">
        <v>10</v>
      </c>
      <c r="D61" s="50" t="s">
        <v>81</v>
      </c>
      <c r="E61" s="50" t="s">
        <v>84</v>
      </c>
      <c r="F61" s="37"/>
      <c r="H61" s="11"/>
      <c r="I61" s="11"/>
      <c r="J61" s="11"/>
      <c r="K61" s="11"/>
      <c r="L61" s="11"/>
      <c r="M61" s="11"/>
      <c r="N61" s="11"/>
      <c r="O61" s="2"/>
    </row>
    <row r="62">
      <c r="A62" s="60">
        <v>2.0</v>
      </c>
      <c r="B62" s="6" t="s">
        <v>85</v>
      </c>
      <c r="C62" s="8" t="s">
        <v>10</v>
      </c>
      <c r="D62" s="50" t="s">
        <v>81</v>
      </c>
      <c r="E62" s="50" t="s">
        <v>84</v>
      </c>
      <c r="F62" s="62"/>
      <c r="H62" s="2"/>
      <c r="I62" s="2"/>
      <c r="J62" s="2"/>
      <c r="K62" s="2"/>
      <c r="L62" s="2"/>
      <c r="M62" s="2"/>
      <c r="N62" s="2"/>
      <c r="O62" s="2"/>
    </row>
    <row r="63">
      <c r="H63" s="2"/>
      <c r="I63" s="2"/>
      <c r="J63" s="2"/>
      <c r="K63" s="2"/>
      <c r="L63" s="2"/>
      <c r="M63" s="2"/>
      <c r="N63" s="2"/>
      <c r="O63" s="2"/>
    </row>
    <row r="64">
      <c r="H64" s="2"/>
      <c r="I64" s="2"/>
      <c r="J64" s="2"/>
      <c r="K64" s="2"/>
      <c r="L64" s="2"/>
      <c r="M64" s="2"/>
      <c r="N64" s="2"/>
      <c r="O64" s="2"/>
    </row>
    <row r="65">
      <c r="H65" s="2"/>
      <c r="I65" s="2"/>
      <c r="J65" s="2"/>
      <c r="K65" s="2"/>
      <c r="L65" s="2"/>
      <c r="M65" s="2"/>
      <c r="N65" s="2"/>
      <c r="O65" s="2"/>
    </row>
    <row r="66">
      <c r="A66" s="45" t="s">
        <v>0</v>
      </c>
      <c r="B66" s="45" t="s">
        <v>1</v>
      </c>
      <c r="C66" s="46"/>
      <c r="D66" s="45" t="s">
        <v>3</v>
      </c>
      <c r="E66" s="46"/>
      <c r="F66" s="45" t="s">
        <v>5</v>
      </c>
      <c r="H66" s="2"/>
      <c r="I66" s="2"/>
      <c r="J66" s="2"/>
      <c r="K66" s="2"/>
      <c r="L66" s="2"/>
      <c r="M66" s="2"/>
      <c r="N66" s="2"/>
      <c r="O66" s="2"/>
    </row>
    <row r="67">
      <c r="A67" s="60">
        <v>1.0</v>
      </c>
      <c r="B67" s="6" t="s">
        <v>107</v>
      </c>
      <c r="C67" s="9" t="s">
        <v>10</v>
      </c>
      <c r="D67" s="50" t="s">
        <v>81</v>
      </c>
      <c r="E67" s="50" t="s">
        <v>84</v>
      </c>
      <c r="F67" s="37"/>
      <c r="H67" s="2"/>
      <c r="I67" s="2"/>
      <c r="J67" s="2"/>
      <c r="K67" s="2"/>
      <c r="L67" s="2"/>
      <c r="M67" s="2"/>
      <c r="N67" s="2"/>
      <c r="O67" s="2"/>
    </row>
    <row r="68">
      <c r="A68" s="57">
        <v>2.0</v>
      </c>
      <c r="B68" s="23" t="s">
        <v>108</v>
      </c>
      <c r="C68" s="9" t="s">
        <v>10</v>
      </c>
      <c r="D68" s="50" t="s">
        <v>81</v>
      </c>
      <c r="E68" s="50" t="s">
        <v>84</v>
      </c>
      <c r="F68" s="50"/>
      <c r="G68" s="2"/>
      <c r="H68" s="2"/>
      <c r="I68" s="2"/>
      <c r="J68" s="2"/>
      <c r="K68" s="2"/>
      <c r="L68" s="2"/>
      <c r="M68" s="2"/>
      <c r="N68" s="2"/>
      <c r="O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>
      <c r="G70" s="2"/>
      <c r="H70" s="2"/>
      <c r="I70" s="2"/>
      <c r="J70" s="2"/>
      <c r="K70" s="2"/>
      <c r="L70" s="2"/>
      <c r="M70" s="2"/>
      <c r="N70" s="2"/>
      <c r="O70" s="2"/>
    </row>
    <row r="71">
      <c r="A71" s="45" t="s">
        <v>0</v>
      </c>
      <c r="B71" s="45" t="s">
        <v>1</v>
      </c>
      <c r="C71" s="46"/>
      <c r="D71" s="45" t="s">
        <v>3</v>
      </c>
      <c r="E71" s="46"/>
      <c r="F71" s="45" t="s">
        <v>5</v>
      </c>
      <c r="G71" s="2"/>
      <c r="H71" s="2"/>
      <c r="I71" s="2"/>
      <c r="J71" s="2"/>
      <c r="K71" s="2"/>
      <c r="L71" s="2"/>
      <c r="M71" s="2"/>
      <c r="N71" s="2"/>
      <c r="O71" s="2"/>
    </row>
    <row r="72">
      <c r="A72" s="60">
        <v>1.0</v>
      </c>
      <c r="B72" s="6" t="s">
        <v>110</v>
      </c>
      <c r="C72" s="9" t="s">
        <v>10</v>
      </c>
      <c r="D72" s="50" t="s">
        <v>111</v>
      </c>
      <c r="E72" s="50" t="s">
        <v>20</v>
      </c>
      <c r="F72" s="37"/>
      <c r="G72" s="2"/>
      <c r="H72" s="2"/>
      <c r="I72" s="2"/>
      <c r="J72" s="2"/>
      <c r="K72" s="2"/>
      <c r="L72" s="2"/>
      <c r="M72" s="2"/>
      <c r="N72" s="2"/>
      <c r="O72" s="2"/>
    </row>
    <row r="73">
      <c r="A73" s="60">
        <v>2.0</v>
      </c>
      <c r="B73" s="61" t="s">
        <v>112</v>
      </c>
      <c r="C73" s="8" t="s">
        <v>10</v>
      </c>
      <c r="D73" s="50" t="s">
        <v>111</v>
      </c>
      <c r="E73" s="50" t="s">
        <v>20</v>
      </c>
      <c r="F73" s="62"/>
      <c r="G73" s="2"/>
      <c r="H73" s="2"/>
      <c r="I73" s="2"/>
      <c r="J73" s="2"/>
      <c r="K73" s="2"/>
      <c r="L73" s="2"/>
      <c r="M73" s="2"/>
      <c r="N73" s="2"/>
      <c r="O73" s="2"/>
    </row>
    <row r="74">
      <c r="A74" s="48">
        <v>3.0</v>
      </c>
      <c r="B74" s="90" t="s">
        <v>116</v>
      </c>
      <c r="C74" s="9" t="s">
        <v>10</v>
      </c>
      <c r="D74" s="50" t="s">
        <v>117</v>
      </c>
      <c r="E74" s="50" t="s">
        <v>20</v>
      </c>
      <c r="F74" s="50"/>
      <c r="G74" s="2"/>
      <c r="H74" s="2"/>
      <c r="I74" s="2"/>
      <c r="J74" s="2"/>
      <c r="K74" s="2"/>
      <c r="L74" s="2"/>
      <c r="M74" s="2"/>
      <c r="N74" s="2"/>
      <c r="O74" s="2"/>
    </row>
    <row r="75">
      <c r="A75" s="60">
        <v>4.0</v>
      </c>
      <c r="B75" s="92" t="s">
        <v>119</v>
      </c>
      <c r="C75" s="8" t="s">
        <v>10</v>
      </c>
      <c r="D75" s="50" t="s">
        <v>117</v>
      </c>
      <c r="E75" s="50" t="s">
        <v>20</v>
      </c>
      <c r="F75" s="50"/>
      <c r="G75" s="2"/>
      <c r="H75" s="2"/>
      <c r="I75" s="2"/>
      <c r="J75" s="2"/>
      <c r="K75" s="2"/>
      <c r="L75" s="2"/>
      <c r="M75" s="2"/>
      <c r="N75" s="2"/>
      <c r="O75" s="2"/>
    </row>
    <row r="76">
      <c r="A76" s="48">
        <v>5.0</v>
      </c>
      <c r="B76" s="72" t="s">
        <v>120</v>
      </c>
      <c r="C76" s="9" t="s">
        <v>10</v>
      </c>
      <c r="D76" s="50" t="s">
        <v>117</v>
      </c>
      <c r="E76" s="50" t="s">
        <v>20</v>
      </c>
      <c r="F76" s="50"/>
      <c r="G76" s="2"/>
      <c r="H76" s="2"/>
      <c r="I76" s="2"/>
      <c r="J76" s="2"/>
      <c r="K76" s="2"/>
      <c r="L76" s="2"/>
      <c r="M76" s="2"/>
      <c r="N76" s="2"/>
      <c r="O76" s="2"/>
    </row>
    <row r="77">
      <c r="A77" s="60">
        <v>6.0</v>
      </c>
      <c r="B77" s="72" t="s">
        <v>121</v>
      </c>
      <c r="C77" s="8" t="s">
        <v>10</v>
      </c>
      <c r="D77" s="50" t="s">
        <v>117</v>
      </c>
      <c r="E77" s="50" t="s">
        <v>20</v>
      </c>
      <c r="F77" s="50"/>
      <c r="G77" s="2"/>
      <c r="H77" s="2"/>
      <c r="I77" s="2"/>
      <c r="J77" s="2"/>
      <c r="K77" s="2"/>
      <c r="L77" s="2"/>
      <c r="M77" s="2"/>
      <c r="N77" s="2"/>
      <c r="O77" s="2"/>
    </row>
    <row r="78">
      <c r="A78" s="48">
        <v>7.0</v>
      </c>
      <c r="B78" s="90" t="s">
        <v>122</v>
      </c>
      <c r="C78" s="9" t="s">
        <v>10</v>
      </c>
      <c r="D78" s="50" t="s">
        <v>111</v>
      </c>
      <c r="E78" s="50" t="s">
        <v>20</v>
      </c>
      <c r="F78" s="50"/>
      <c r="G78" s="2"/>
      <c r="H78" s="2"/>
      <c r="I78" s="2"/>
      <c r="J78" s="2"/>
      <c r="K78" s="2"/>
      <c r="L78" s="2"/>
      <c r="M78" s="2"/>
      <c r="N78" s="2"/>
      <c r="O78" s="2"/>
    </row>
    <row r="79">
      <c r="A79" s="50"/>
      <c r="B79" s="50"/>
      <c r="C79" s="50"/>
      <c r="D79" s="50"/>
      <c r="E79" s="50"/>
      <c r="F79" s="50"/>
      <c r="G79" s="2"/>
      <c r="H79" s="2"/>
      <c r="I79" s="2"/>
      <c r="J79" s="2"/>
      <c r="K79" s="2"/>
      <c r="L79" s="2"/>
      <c r="M79" s="2"/>
      <c r="N79" s="2"/>
      <c r="O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>
      <c r="A81" s="44"/>
      <c r="B81" s="44"/>
      <c r="C81" s="44"/>
      <c r="D81" s="44"/>
      <c r="E81" s="44"/>
      <c r="F81" s="44"/>
      <c r="G81" s="2"/>
      <c r="H81" s="2"/>
      <c r="I81" s="2"/>
      <c r="J81" s="2"/>
      <c r="K81" s="2"/>
      <c r="L81" s="2"/>
      <c r="M81" s="2"/>
      <c r="N81" s="2"/>
      <c r="O81" s="2"/>
    </row>
    <row r="82">
      <c r="A82" s="2"/>
      <c r="B82" s="4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>
      <c r="A83" s="45" t="s">
        <v>0</v>
      </c>
      <c r="B83" s="45" t="s">
        <v>1</v>
      </c>
      <c r="C83" s="46"/>
      <c r="D83" s="45" t="s">
        <v>3</v>
      </c>
      <c r="E83" s="46"/>
      <c r="F83" s="45" t="s">
        <v>5</v>
      </c>
      <c r="G83" s="2"/>
      <c r="H83" s="2"/>
      <c r="I83" s="2"/>
      <c r="J83" s="2"/>
      <c r="K83" s="2"/>
      <c r="L83" s="2"/>
      <c r="M83" s="2"/>
      <c r="N83" s="2"/>
      <c r="O83" s="2"/>
    </row>
    <row r="84">
      <c r="A84" s="60">
        <v>1.0</v>
      </c>
      <c r="B84" s="97" t="s">
        <v>125</v>
      </c>
      <c r="C84" s="9" t="s">
        <v>10</v>
      </c>
      <c r="D84" s="57" t="s">
        <v>126</v>
      </c>
      <c r="E84" s="57" t="s">
        <v>27</v>
      </c>
      <c r="F84" s="98">
        <v>1.87E7</v>
      </c>
      <c r="G84" s="2"/>
      <c r="H84" s="2"/>
      <c r="I84" s="2"/>
      <c r="J84" s="2"/>
      <c r="K84" s="2"/>
      <c r="L84" s="2"/>
      <c r="M84" s="2"/>
      <c r="N84" s="2"/>
      <c r="O84" s="2"/>
    </row>
    <row r="85">
      <c r="A85" s="77">
        <v>2.0</v>
      </c>
      <c r="B85" s="100" t="s">
        <v>128</v>
      </c>
      <c r="C85" s="9" t="s">
        <v>10</v>
      </c>
      <c r="D85" s="57" t="s">
        <v>126</v>
      </c>
      <c r="E85" s="57" t="s">
        <v>27</v>
      </c>
      <c r="F85" s="62"/>
      <c r="G85" s="101"/>
      <c r="H85" s="2"/>
      <c r="I85" s="2"/>
      <c r="J85" s="2"/>
      <c r="K85" s="2"/>
      <c r="L85" s="2"/>
      <c r="M85" s="2"/>
      <c r="N85" s="2"/>
      <c r="O85" s="2"/>
    </row>
    <row r="86">
      <c r="A86" s="102">
        <v>3.0</v>
      </c>
      <c r="B86" s="97" t="s">
        <v>129</v>
      </c>
      <c r="C86" s="9" t="s">
        <v>10</v>
      </c>
      <c r="D86" s="102" t="s">
        <v>131</v>
      </c>
      <c r="E86" s="57" t="s">
        <v>27</v>
      </c>
      <c r="F86" s="73"/>
      <c r="G86" s="101"/>
      <c r="H86" s="2"/>
      <c r="I86" s="2"/>
      <c r="J86" s="2"/>
      <c r="K86" s="2"/>
      <c r="L86" s="2"/>
      <c r="M86" s="2"/>
      <c r="N86" s="2"/>
      <c r="O86" s="2"/>
    </row>
    <row r="87">
      <c r="A87" s="102">
        <v>4.0</v>
      </c>
      <c r="B87" s="41" t="s">
        <v>132</v>
      </c>
      <c r="C87" s="103" t="s">
        <v>10</v>
      </c>
      <c r="D87" s="102" t="s">
        <v>131</v>
      </c>
      <c r="E87" s="57" t="s">
        <v>27</v>
      </c>
      <c r="F87" s="73"/>
      <c r="G87" s="104" t="s">
        <v>134</v>
      </c>
      <c r="H87" s="2"/>
      <c r="I87" s="2"/>
      <c r="J87" s="2"/>
      <c r="K87" s="2"/>
      <c r="L87" s="2"/>
      <c r="M87" s="2"/>
      <c r="N87" s="2"/>
      <c r="O87" s="2"/>
    </row>
    <row r="88">
      <c r="A88" s="102">
        <v>5.0</v>
      </c>
      <c r="B88" s="100" t="s">
        <v>135</v>
      </c>
      <c r="C88" s="9" t="s">
        <v>10</v>
      </c>
      <c r="D88" s="102" t="s">
        <v>131</v>
      </c>
      <c r="E88" s="57" t="s">
        <v>27</v>
      </c>
      <c r="F88" s="73"/>
      <c r="G88" s="2"/>
      <c r="H88" s="2"/>
      <c r="I88" s="2"/>
      <c r="J88" s="2"/>
      <c r="K88" s="2"/>
      <c r="L88" s="2"/>
      <c r="M88" s="2"/>
      <c r="N88" s="2"/>
      <c r="O88" s="2"/>
    </row>
    <row r="89">
      <c r="A89" s="102">
        <v>6.0</v>
      </c>
      <c r="B89" s="100" t="s">
        <v>136</v>
      </c>
      <c r="C89" s="9" t="s">
        <v>10</v>
      </c>
      <c r="D89" s="102" t="s">
        <v>137</v>
      </c>
      <c r="E89" s="57" t="s">
        <v>27</v>
      </c>
      <c r="F89" s="73"/>
      <c r="G89" s="2"/>
      <c r="H89" s="2"/>
      <c r="I89" s="2"/>
      <c r="J89" s="2"/>
      <c r="K89" s="2"/>
      <c r="L89" s="2"/>
      <c r="M89" s="2"/>
      <c r="N89" s="2"/>
      <c r="O89" s="2"/>
    </row>
    <row r="90">
      <c r="G90" s="2"/>
      <c r="H90" s="2"/>
      <c r="I90" s="2"/>
      <c r="J90" s="2"/>
      <c r="K90" s="2"/>
      <c r="L90" s="2"/>
      <c r="M90" s="2"/>
      <c r="N90" s="2"/>
      <c r="O90" s="2"/>
    </row>
    <row r="91">
      <c r="G91" s="2"/>
      <c r="H91" s="2"/>
      <c r="I91" s="2"/>
      <c r="J91" s="2"/>
      <c r="K91" s="2"/>
      <c r="L91" s="2"/>
      <c r="M91" s="2"/>
      <c r="N91" s="2"/>
      <c r="O91" s="2"/>
    </row>
    <row r="92">
      <c r="G92" s="2"/>
      <c r="H92" s="2"/>
      <c r="I92" s="2"/>
      <c r="J92" s="2"/>
      <c r="K92" s="2"/>
      <c r="L92" s="2"/>
      <c r="M92" s="2"/>
      <c r="N92" s="2"/>
      <c r="O92" s="2"/>
    </row>
    <row r="93">
      <c r="G93" s="2"/>
      <c r="H93" s="2"/>
      <c r="I93" s="2"/>
      <c r="J93" s="2"/>
      <c r="K93" s="2"/>
      <c r="L93" s="2"/>
      <c r="M93" s="2"/>
      <c r="N93" s="2"/>
      <c r="O93" s="2"/>
    </row>
    <row r="94">
      <c r="A94" s="2"/>
      <c r="B94" s="59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>
      <c r="A95" s="2"/>
      <c r="B95" s="59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32.75"/>
    <col customWidth="1" min="3" max="3" width="8.5"/>
    <col customWidth="1" min="5" max="5" width="29.13"/>
    <col customWidth="1" min="6" max="6" width="17.38"/>
    <col customWidth="1" min="7" max="7" width="15.38"/>
    <col customWidth="1" min="9" max="9" width="2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3" t="s">
        <v>6</v>
      </c>
      <c r="J1" s="3" t="s">
        <v>7</v>
      </c>
      <c r="K1" s="2"/>
      <c r="L1" s="4"/>
      <c r="M1" s="4"/>
      <c r="N1" s="4"/>
      <c r="O1" s="2"/>
    </row>
    <row r="2">
      <c r="A2" s="5">
        <v>1.0</v>
      </c>
      <c r="B2" s="6" t="s">
        <v>8</v>
      </c>
      <c r="C2" s="8" t="s">
        <v>10</v>
      </c>
      <c r="D2" s="9" t="s">
        <v>11</v>
      </c>
      <c r="E2" s="9" t="s">
        <v>12</v>
      </c>
      <c r="F2" s="10">
        <v>1.575E7</v>
      </c>
      <c r="G2" s="11"/>
      <c r="H2" s="11"/>
      <c r="I2" s="12" t="s">
        <v>13</v>
      </c>
      <c r="J2" s="14">
        <v>10.0</v>
      </c>
      <c r="K2" s="11"/>
      <c r="L2" s="11"/>
      <c r="M2" s="15"/>
      <c r="N2" s="11"/>
      <c r="O2" s="2"/>
    </row>
    <row r="3">
      <c r="A3" s="5">
        <v>2.0</v>
      </c>
      <c r="B3" s="6" t="s">
        <v>14</v>
      </c>
      <c r="C3" s="8" t="s">
        <v>15</v>
      </c>
      <c r="D3" s="16" t="s">
        <v>16</v>
      </c>
      <c r="E3" s="9" t="s">
        <v>12</v>
      </c>
      <c r="F3" s="10">
        <v>2.94E7</v>
      </c>
      <c r="G3" s="11"/>
      <c r="H3" s="11"/>
      <c r="I3" s="12" t="s">
        <v>17</v>
      </c>
      <c r="J3" s="14">
        <v>8.0</v>
      </c>
      <c r="K3" s="11"/>
      <c r="L3" s="11"/>
      <c r="M3" s="11"/>
      <c r="N3" s="11"/>
      <c r="O3" s="2"/>
    </row>
    <row r="4">
      <c r="A4" s="5">
        <v>3.0</v>
      </c>
      <c r="B4" s="6" t="s">
        <v>18</v>
      </c>
      <c r="C4" s="8" t="s">
        <v>15</v>
      </c>
      <c r="D4" s="9" t="s">
        <v>19</v>
      </c>
      <c r="E4" s="9" t="s">
        <v>12</v>
      </c>
      <c r="F4" s="10">
        <v>2.1E7</v>
      </c>
      <c r="G4" s="11"/>
      <c r="H4" s="11"/>
      <c r="I4" s="12" t="s">
        <v>20</v>
      </c>
      <c r="J4" s="14">
        <v>7.0</v>
      </c>
      <c r="K4" s="11"/>
      <c r="L4" s="11"/>
      <c r="M4" s="11"/>
      <c r="N4" s="11"/>
      <c r="O4" s="2"/>
    </row>
    <row r="5">
      <c r="A5" s="5">
        <v>4.0</v>
      </c>
      <c r="B5" s="19" t="s">
        <v>22</v>
      </c>
      <c r="C5" s="8" t="s">
        <v>10</v>
      </c>
      <c r="D5" s="20" t="s">
        <v>19</v>
      </c>
      <c r="E5" s="20" t="s">
        <v>12</v>
      </c>
      <c r="F5" s="10">
        <v>2.1E7</v>
      </c>
      <c r="G5" s="11"/>
      <c r="H5" s="11"/>
      <c r="I5" s="12" t="s">
        <v>23</v>
      </c>
      <c r="J5" s="14">
        <v>1.0</v>
      </c>
      <c r="K5" s="11"/>
      <c r="L5" s="11"/>
      <c r="M5" s="11"/>
      <c r="N5" s="11"/>
      <c r="O5" s="2"/>
    </row>
    <row r="6">
      <c r="A6" s="5">
        <v>5.0</v>
      </c>
      <c r="B6" s="6" t="s">
        <v>24</v>
      </c>
      <c r="C6" s="8" t="s">
        <v>10</v>
      </c>
      <c r="D6" s="9" t="s">
        <v>25</v>
      </c>
      <c r="E6" s="8" t="s">
        <v>26</v>
      </c>
      <c r="F6" s="10">
        <v>2.2E7</v>
      </c>
      <c r="G6" s="11"/>
      <c r="H6" s="11"/>
      <c r="I6" s="22" t="s">
        <v>27</v>
      </c>
      <c r="J6" s="14">
        <v>6.0</v>
      </c>
      <c r="K6" s="11"/>
      <c r="L6" s="11"/>
      <c r="M6" s="11"/>
      <c r="N6" s="11"/>
      <c r="O6" s="2"/>
    </row>
    <row r="7">
      <c r="A7" s="5">
        <v>6.0</v>
      </c>
      <c r="B7" s="6" t="s">
        <v>28</v>
      </c>
      <c r="C7" s="8" t="s">
        <v>10</v>
      </c>
      <c r="D7" s="9" t="s">
        <v>19</v>
      </c>
      <c r="E7" s="9" t="s">
        <v>12</v>
      </c>
      <c r="F7" s="10">
        <v>2.1E7</v>
      </c>
      <c r="G7" s="11"/>
      <c r="H7" s="11"/>
      <c r="I7" s="23" t="s">
        <v>29</v>
      </c>
      <c r="J7" s="14">
        <v>1.0</v>
      </c>
      <c r="K7" s="11"/>
      <c r="L7" s="11"/>
      <c r="M7" s="11"/>
      <c r="N7" s="11"/>
      <c r="O7" s="2"/>
    </row>
    <row r="8">
      <c r="A8" s="5">
        <v>7.0</v>
      </c>
      <c r="B8" s="6" t="s">
        <v>31</v>
      </c>
      <c r="C8" s="8" t="s">
        <v>15</v>
      </c>
      <c r="D8" s="9" t="s">
        <v>32</v>
      </c>
      <c r="E8" s="8" t="s">
        <v>33</v>
      </c>
      <c r="F8" s="10">
        <v>2.2387E7</v>
      </c>
      <c r="G8" s="11"/>
      <c r="H8" s="11"/>
      <c r="I8" s="23" t="s">
        <v>34</v>
      </c>
      <c r="J8" s="14">
        <v>1.0</v>
      </c>
      <c r="K8" s="11"/>
      <c r="L8" s="11"/>
      <c r="M8" s="11"/>
      <c r="N8" s="11"/>
      <c r="O8" s="2"/>
    </row>
    <row r="9">
      <c r="A9" s="5">
        <v>8.0</v>
      </c>
      <c r="B9" s="6" t="s">
        <v>35</v>
      </c>
      <c r="C9" s="8" t="s">
        <v>15</v>
      </c>
      <c r="D9" s="20" t="s">
        <v>16</v>
      </c>
      <c r="E9" s="9" t="s">
        <v>12</v>
      </c>
      <c r="F9" s="10">
        <v>2.94E7</v>
      </c>
      <c r="G9" s="11"/>
      <c r="H9" s="11"/>
      <c r="I9" s="23" t="s">
        <v>38</v>
      </c>
      <c r="J9" s="14">
        <v>4.0</v>
      </c>
      <c r="K9" s="11"/>
      <c r="L9" s="11"/>
      <c r="M9" s="11"/>
      <c r="N9" s="11"/>
      <c r="O9" s="2"/>
    </row>
    <row r="10">
      <c r="A10" s="5">
        <v>9.0</v>
      </c>
      <c r="B10" s="26" t="s">
        <v>39</v>
      </c>
      <c r="C10" s="8" t="s">
        <v>10</v>
      </c>
      <c r="D10" s="9" t="s">
        <v>32</v>
      </c>
      <c r="E10" s="8" t="s">
        <v>33</v>
      </c>
      <c r="F10" s="10">
        <v>2.2387E7</v>
      </c>
      <c r="G10" s="11"/>
      <c r="H10" s="11"/>
      <c r="I10" s="23" t="s">
        <v>40</v>
      </c>
      <c r="J10" s="14">
        <v>2.0</v>
      </c>
      <c r="K10" s="28"/>
      <c r="L10" s="28"/>
      <c r="M10" s="28"/>
      <c r="N10" s="28"/>
      <c r="O10" s="2"/>
    </row>
    <row r="11">
      <c r="A11" s="5">
        <v>10.0</v>
      </c>
      <c r="B11" s="30" t="s">
        <v>42</v>
      </c>
      <c r="C11" s="8" t="s">
        <v>10</v>
      </c>
      <c r="D11" s="9" t="s">
        <v>19</v>
      </c>
      <c r="E11" s="9" t="s">
        <v>12</v>
      </c>
      <c r="F11" s="10">
        <v>2.1E7</v>
      </c>
      <c r="G11" s="11"/>
      <c r="H11" s="11"/>
      <c r="I11" s="23" t="s">
        <v>43</v>
      </c>
      <c r="J11" s="32">
        <v>12.0</v>
      </c>
      <c r="K11" s="28"/>
      <c r="L11" s="28"/>
      <c r="M11" s="28"/>
      <c r="N11" s="28"/>
      <c r="O11" s="2"/>
    </row>
    <row r="12">
      <c r="A12" s="2"/>
      <c r="B12" s="33" t="s">
        <v>44</v>
      </c>
      <c r="C12" s="33">
        <v>9.0</v>
      </c>
      <c r="D12" s="2"/>
      <c r="E12" s="2"/>
      <c r="F12" s="35"/>
      <c r="G12" s="2"/>
      <c r="H12" s="11"/>
      <c r="I12" s="38" t="s">
        <v>46</v>
      </c>
      <c r="J12" s="43">
        <f>SUM(J2:J11)</f>
        <v>52</v>
      </c>
      <c r="K12" s="2"/>
      <c r="L12" s="2"/>
      <c r="M12" s="2"/>
      <c r="N12" s="2"/>
      <c r="O12" s="2"/>
    </row>
    <row r="13">
      <c r="A13" s="44"/>
      <c r="B13" s="44"/>
      <c r="C13" s="44"/>
      <c r="D13" s="2"/>
      <c r="E13" s="2"/>
      <c r="F13" s="2"/>
      <c r="G13" s="2"/>
      <c r="H13" s="11"/>
      <c r="K13" s="2"/>
      <c r="L13" s="2"/>
      <c r="M13" s="2"/>
      <c r="N13" s="2"/>
      <c r="O13" s="2"/>
    </row>
    <row r="14">
      <c r="A14" s="44"/>
      <c r="B14" s="44"/>
      <c r="C14" s="44"/>
      <c r="D14" s="2"/>
      <c r="E14" s="2"/>
      <c r="F14" s="2"/>
      <c r="G14" s="2"/>
      <c r="H14" s="11"/>
      <c r="I14" s="2"/>
      <c r="J14" s="2"/>
      <c r="K14" s="2"/>
      <c r="L14" s="2"/>
      <c r="M14" s="2"/>
      <c r="N14" s="2"/>
      <c r="O14" s="2"/>
    </row>
    <row r="15">
      <c r="A15" s="44"/>
      <c r="B15" s="44"/>
      <c r="C15" s="44"/>
      <c r="D15" s="2"/>
      <c r="E15" s="2"/>
      <c r="F15" s="2"/>
      <c r="G15" s="2"/>
      <c r="H15" s="11"/>
      <c r="K15" s="2"/>
      <c r="L15" s="2"/>
      <c r="M15" s="2"/>
      <c r="N15" s="2"/>
      <c r="O15" s="2"/>
    </row>
    <row r="16">
      <c r="A16" s="45" t="s">
        <v>0</v>
      </c>
      <c r="B16" s="45" t="s">
        <v>1</v>
      </c>
      <c r="C16" s="45" t="s">
        <v>2</v>
      </c>
      <c r="D16" s="45" t="s">
        <v>3</v>
      </c>
      <c r="E16" s="46"/>
      <c r="F16" s="45" t="s">
        <v>5</v>
      </c>
      <c r="G16" s="2"/>
      <c r="H16" s="11"/>
      <c r="I16" s="2"/>
      <c r="J16" s="2"/>
      <c r="K16" s="2"/>
      <c r="L16" s="2"/>
      <c r="M16" s="2"/>
      <c r="N16" s="2"/>
      <c r="O16" s="2"/>
    </row>
    <row r="17">
      <c r="A17" s="48">
        <v>1.0</v>
      </c>
      <c r="B17" s="6" t="s">
        <v>51</v>
      </c>
      <c r="C17" s="6" t="s">
        <v>10</v>
      </c>
      <c r="D17" s="49" t="s">
        <v>52</v>
      </c>
      <c r="E17" s="9" t="s">
        <v>53</v>
      </c>
      <c r="F17" s="48" t="s">
        <v>54</v>
      </c>
      <c r="G17" s="2"/>
      <c r="H17" s="11"/>
      <c r="J17" s="2"/>
      <c r="K17" s="2"/>
      <c r="L17" s="2"/>
      <c r="M17" s="2"/>
      <c r="N17" s="2"/>
      <c r="O17" s="2"/>
    </row>
    <row r="18">
      <c r="A18" s="48">
        <v>2.0</v>
      </c>
      <c r="B18" s="26" t="s">
        <v>56</v>
      </c>
      <c r="C18" s="6" t="s">
        <v>10</v>
      </c>
      <c r="D18" s="49" t="s">
        <v>52</v>
      </c>
      <c r="E18" s="9" t="s">
        <v>53</v>
      </c>
      <c r="F18" s="48" t="s">
        <v>54</v>
      </c>
      <c r="G18" s="2"/>
      <c r="H18" s="11"/>
      <c r="J18" s="2"/>
      <c r="K18" s="2"/>
      <c r="L18" s="2"/>
      <c r="M18" s="2"/>
      <c r="N18" s="2"/>
      <c r="O18" s="2"/>
    </row>
    <row r="19">
      <c r="A19" s="48">
        <v>3.0</v>
      </c>
      <c r="B19" s="26" t="s">
        <v>57</v>
      </c>
      <c r="C19" s="6" t="s">
        <v>10</v>
      </c>
      <c r="D19" s="49" t="s">
        <v>52</v>
      </c>
      <c r="E19" s="9" t="s">
        <v>53</v>
      </c>
      <c r="F19" s="48" t="s">
        <v>54</v>
      </c>
      <c r="G19" s="2"/>
      <c r="H19" s="11"/>
      <c r="J19" s="2"/>
      <c r="K19" s="2"/>
      <c r="L19" s="2"/>
      <c r="M19" s="2"/>
      <c r="N19" s="2"/>
      <c r="O19" s="2"/>
    </row>
    <row r="20">
      <c r="A20" s="48">
        <v>4.0</v>
      </c>
      <c r="B20" s="52" t="s">
        <v>58</v>
      </c>
      <c r="C20" s="6" t="s">
        <v>10</v>
      </c>
      <c r="D20" s="49" t="s">
        <v>59</v>
      </c>
      <c r="E20" s="9" t="s">
        <v>53</v>
      </c>
      <c r="F20" s="48" t="s">
        <v>54</v>
      </c>
      <c r="G20" s="2"/>
      <c r="H20" s="11"/>
      <c r="J20" s="2"/>
      <c r="K20" s="2"/>
      <c r="L20" s="2"/>
      <c r="M20" s="2"/>
      <c r="N20" s="2"/>
      <c r="O20" s="2"/>
    </row>
    <row r="21">
      <c r="A21" s="48">
        <v>5.0</v>
      </c>
      <c r="B21" s="26" t="s">
        <v>60</v>
      </c>
      <c r="C21" s="6" t="s">
        <v>10</v>
      </c>
      <c r="D21" s="49" t="s">
        <v>52</v>
      </c>
      <c r="E21" s="9" t="s">
        <v>53</v>
      </c>
      <c r="F21" s="48" t="s">
        <v>54</v>
      </c>
      <c r="G21" s="2"/>
      <c r="H21" s="11"/>
      <c r="I21" s="2"/>
      <c r="J21" s="2"/>
      <c r="K21" s="2"/>
      <c r="L21" s="2"/>
      <c r="M21" s="2"/>
      <c r="N21" s="2"/>
      <c r="O21" s="2"/>
    </row>
    <row r="22">
      <c r="A22" s="48">
        <v>6.0</v>
      </c>
      <c r="B22" s="26" t="s">
        <v>61</v>
      </c>
      <c r="C22" s="6" t="s">
        <v>10</v>
      </c>
      <c r="D22" s="49" t="s">
        <v>52</v>
      </c>
      <c r="E22" s="9" t="s">
        <v>53</v>
      </c>
      <c r="F22" s="48" t="s">
        <v>54</v>
      </c>
      <c r="G22" s="2"/>
      <c r="H22" s="11"/>
      <c r="I22" s="2"/>
      <c r="J22" s="2"/>
      <c r="K22" s="2"/>
      <c r="L22" s="2"/>
      <c r="M22" s="2"/>
      <c r="N22" s="2"/>
      <c r="O22" s="2"/>
    </row>
    <row r="23">
      <c r="A23" s="48">
        <v>7.0</v>
      </c>
      <c r="B23" s="26" t="s">
        <v>62</v>
      </c>
      <c r="C23" s="6" t="s">
        <v>10</v>
      </c>
      <c r="D23" s="49" t="s">
        <v>52</v>
      </c>
      <c r="E23" s="9" t="s">
        <v>53</v>
      </c>
      <c r="F23" s="48" t="s">
        <v>54</v>
      </c>
      <c r="G23" s="2"/>
      <c r="H23" s="11"/>
      <c r="I23" s="2"/>
      <c r="J23" s="2"/>
      <c r="K23" s="2"/>
      <c r="L23" s="2"/>
      <c r="M23" s="2"/>
      <c r="N23" s="2"/>
      <c r="O23" s="2"/>
    </row>
    <row r="24">
      <c r="A24" s="48">
        <v>8.0</v>
      </c>
      <c r="B24" s="26" t="s">
        <v>64</v>
      </c>
      <c r="C24" s="6" t="s">
        <v>10</v>
      </c>
      <c r="D24" s="49" t="s">
        <v>52</v>
      </c>
      <c r="E24" s="9" t="s">
        <v>53</v>
      </c>
      <c r="F24" s="48" t="s">
        <v>54</v>
      </c>
      <c r="G24" s="2"/>
      <c r="H24" s="11"/>
      <c r="I24" s="2"/>
      <c r="J24" s="2"/>
      <c r="K24" s="2"/>
      <c r="L24" s="2"/>
      <c r="M24" s="2"/>
      <c r="N24" s="2"/>
      <c r="O24" s="2"/>
    </row>
    <row r="25">
      <c r="A25" s="48">
        <v>9.0</v>
      </c>
      <c r="B25" s="26" t="s">
        <v>65</v>
      </c>
      <c r="C25" s="6" t="s">
        <v>10</v>
      </c>
      <c r="D25" s="49" t="s">
        <v>52</v>
      </c>
      <c r="E25" s="9" t="s">
        <v>53</v>
      </c>
      <c r="F25" s="48" t="s">
        <v>54</v>
      </c>
      <c r="G25" s="2"/>
      <c r="H25" s="11"/>
      <c r="I25" s="2"/>
      <c r="J25" s="2"/>
      <c r="K25" s="2"/>
      <c r="L25" s="2"/>
      <c r="M25" s="2"/>
      <c r="N25" s="2"/>
      <c r="O25" s="2"/>
    </row>
    <row r="26">
      <c r="A26" s="48">
        <v>10.0</v>
      </c>
      <c r="B26" s="26" t="s">
        <v>66</v>
      </c>
      <c r="C26" s="6" t="s">
        <v>10</v>
      </c>
      <c r="D26" s="49" t="s">
        <v>52</v>
      </c>
      <c r="E26" s="9" t="s">
        <v>53</v>
      </c>
      <c r="F26" s="48" t="s">
        <v>54</v>
      </c>
      <c r="G26" s="2"/>
      <c r="H26" s="11"/>
      <c r="I26" s="2"/>
      <c r="J26" s="2"/>
      <c r="K26" s="2"/>
      <c r="L26" s="2"/>
      <c r="M26" s="2"/>
      <c r="N26" s="2"/>
      <c r="O26" s="2"/>
    </row>
    <row r="27">
      <c r="A27" s="60">
        <v>11.0</v>
      </c>
      <c r="B27" s="61" t="s">
        <v>67</v>
      </c>
      <c r="C27" s="6" t="s">
        <v>10</v>
      </c>
      <c r="D27" s="49" t="s">
        <v>52</v>
      </c>
      <c r="E27" s="8" t="s">
        <v>53</v>
      </c>
      <c r="F27" s="48" t="s">
        <v>54</v>
      </c>
      <c r="G27" s="2"/>
      <c r="H27" s="11"/>
      <c r="I27" s="2"/>
      <c r="J27" s="2"/>
      <c r="K27" s="2"/>
      <c r="L27" s="2"/>
      <c r="M27" s="2"/>
      <c r="N27" s="2"/>
      <c r="O27" s="2"/>
    </row>
    <row r="28">
      <c r="A28" s="60">
        <v>12.0</v>
      </c>
      <c r="B28" s="6" t="s">
        <v>68</v>
      </c>
      <c r="C28" s="62" t="s">
        <v>10</v>
      </c>
      <c r="D28" s="49" t="s">
        <v>52</v>
      </c>
      <c r="E28" s="8" t="s">
        <v>53</v>
      </c>
      <c r="F28" s="48" t="s">
        <v>54</v>
      </c>
      <c r="G28" s="2"/>
      <c r="H28" s="11"/>
      <c r="I28" s="2"/>
      <c r="J28" s="2"/>
      <c r="K28" s="2"/>
      <c r="L28" s="2"/>
      <c r="M28" s="2"/>
      <c r="N28" s="2"/>
      <c r="O28" s="2"/>
    </row>
    <row r="29">
      <c r="A29" s="2"/>
      <c r="B29" s="33"/>
      <c r="C29" s="33"/>
      <c r="D29" s="64"/>
      <c r="E29" s="63"/>
      <c r="F29" s="2"/>
      <c r="G29" s="2"/>
      <c r="H29" s="11"/>
      <c r="I29" s="2"/>
      <c r="J29" s="2"/>
      <c r="K29" s="2"/>
      <c r="L29" s="2"/>
      <c r="M29" s="2"/>
      <c r="N29" s="2"/>
      <c r="O29" s="2"/>
    </row>
    <row r="30">
      <c r="H30" s="11"/>
      <c r="I30" s="2"/>
      <c r="J30" s="2"/>
      <c r="K30" s="2"/>
      <c r="L30" s="2"/>
      <c r="M30" s="2"/>
      <c r="N30" s="2"/>
      <c r="O30" s="2"/>
    </row>
    <row r="31">
      <c r="H31" s="11"/>
      <c r="I31" s="2"/>
      <c r="J31" s="2"/>
      <c r="K31" s="2"/>
      <c r="L31" s="2"/>
      <c r="M31" s="2"/>
      <c r="N31" s="2"/>
      <c r="O31" s="2"/>
    </row>
    <row r="32">
      <c r="H32" s="11"/>
      <c r="I32" s="2"/>
      <c r="J32" s="2"/>
      <c r="K32" s="2"/>
      <c r="L32" s="2"/>
      <c r="M32" s="2"/>
      <c r="N32" s="2"/>
      <c r="O32" s="2"/>
    </row>
    <row r="33">
      <c r="A33" s="45" t="s">
        <v>0</v>
      </c>
      <c r="B33" s="45" t="s">
        <v>1</v>
      </c>
      <c r="C33" s="45" t="s">
        <v>2</v>
      </c>
      <c r="D33" s="45" t="s">
        <v>3</v>
      </c>
      <c r="E33" s="46"/>
      <c r="F33" s="45" t="s">
        <v>5</v>
      </c>
      <c r="H33" s="11"/>
      <c r="I33" s="2"/>
      <c r="J33" s="2"/>
      <c r="K33" s="2"/>
      <c r="L33" s="2"/>
      <c r="M33" s="2"/>
      <c r="N33" s="2"/>
      <c r="O33" s="2"/>
    </row>
    <row r="34">
      <c r="A34" s="48">
        <v>1.0</v>
      </c>
      <c r="B34" s="26" t="s">
        <v>71</v>
      </c>
      <c r="C34" s="26" t="s">
        <v>15</v>
      </c>
      <c r="D34" s="50" t="s">
        <v>72</v>
      </c>
      <c r="E34" s="50" t="s">
        <v>73</v>
      </c>
      <c r="F34" s="71">
        <v>2.0E7</v>
      </c>
      <c r="H34" s="11"/>
      <c r="I34" s="2"/>
      <c r="J34" s="2"/>
      <c r="K34" s="2"/>
      <c r="L34" s="2"/>
      <c r="M34" s="2"/>
      <c r="N34" s="2"/>
      <c r="O34" s="2"/>
    </row>
    <row r="35">
      <c r="A35" s="48">
        <v>2.0</v>
      </c>
      <c r="B35" s="26" t="s">
        <v>75</v>
      </c>
      <c r="C35" s="26" t="s">
        <v>15</v>
      </c>
      <c r="D35" s="50" t="s">
        <v>72</v>
      </c>
      <c r="E35" s="50" t="s">
        <v>73</v>
      </c>
      <c r="F35" s="71">
        <v>2.0E7</v>
      </c>
      <c r="H35" s="11"/>
      <c r="I35" s="2"/>
      <c r="J35" s="2"/>
      <c r="K35" s="2"/>
      <c r="L35" s="2"/>
      <c r="M35" s="2"/>
      <c r="N35" s="2"/>
      <c r="O35" s="2"/>
    </row>
    <row r="36">
      <c r="A36" s="48">
        <v>3.0</v>
      </c>
      <c r="B36" s="26" t="s">
        <v>76</v>
      </c>
      <c r="C36" s="26" t="s">
        <v>15</v>
      </c>
      <c r="D36" s="50" t="s">
        <v>72</v>
      </c>
      <c r="E36" s="50" t="s">
        <v>73</v>
      </c>
      <c r="F36" s="71">
        <v>2.0E7</v>
      </c>
      <c r="G36" s="2"/>
      <c r="H36" s="11"/>
      <c r="I36" s="2"/>
      <c r="J36" s="2"/>
      <c r="K36" s="2"/>
      <c r="L36" s="2"/>
      <c r="M36" s="2"/>
      <c r="N36" s="2"/>
      <c r="O36" s="2"/>
    </row>
    <row r="37">
      <c r="A37" s="48">
        <v>4.0</v>
      </c>
      <c r="B37" s="72" t="s">
        <v>78</v>
      </c>
      <c r="C37" s="26" t="s">
        <v>15</v>
      </c>
      <c r="D37" s="50" t="s">
        <v>72</v>
      </c>
      <c r="E37" s="50" t="s">
        <v>73</v>
      </c>
      <c r="F37" s="71">
        <v>2.0E7</v>
      </c>
      <c r="G37" s="2"/>
      <c r="H37" s="11"/>
      <c r="I37" s="2"/>
      <c r="J37" s="2"/>
      <c r="K37" s="2"/>
      <c r="L37" s="2"/>
      <c r="M37" s="2"/>
      <c r="N37" s="2"/>
      <c r="O37" s="2"/>
    </row>
    <row r="38">
      <c r="B38" s="33"/>
      <c r="C38" s="33"/>
      <c r="G38" s="44"/>
      <c r="H38" s="28"/>
      <c r="I38" s="44"/>
      <c r="J38" s="44"/>
      <c r="K38" s="44"/>
      <c r="L38" s="44"/>
      <c r="M38" s="44"/>
      <c r="N38" s="44"/>
      <c r="O38" s="44"/>
    </row>
    <row r="39">
      <c r="G39" s="74"/>
      <c r="H39" s="11"/>
      <c r="I39" s="74"/>
      <c r="J39" s="74"/>
      <c r="K39" s="74"/>
      <c r="L39" s="74"/>
      <c r="M39" s="74"/>
      <c r="N39" s="74"/>
      <c r="O39" s="2"/>
    </row>
    <row r="40">
      <c r="G40" s="74"/>
      <c r="H40" s="11"/>
      <c r="I40" s="74"/>
      <c r="J40" s="74"/>
      <c r="K40" s="74"/>
      <c r="L40" s="74"/>
      <c r="M40" s="74"/>
      <c r="N40" s="74"/>
      <c r="O40" s="2"/>
    </row>
    <row r="41">
      <c r="A41" s="45" t="s">
        <v>0</v>
      </c>
      <c r="B41" s="45" t="s">
        <v>1</v>
      </c>
      <c r="C41" s="46"/>
      <c r="D41" s="45" t="s">
        <v>3</v>
      </c>
      <c r="E41" s="46"/>
      <c r="F41" s="45" t="s">
        <v>5</v>
      </c>
      <c r="G41" s="75"/>
      <c r="H41" s="11"/>
      <c r="I41" s="74"/>
      <c r="J41" s="74"/>
      <c r="K41" s="74"/>
      <c r="L41" s="74"/>
      <c r="M41" s="74"/>
      <c r="N41" s="74"/>
      <c r="O41" s="2"/>
    </row>
    <row r="42">
      <c r="A42" s="48">
        <v>1.0</v>
      </c>
      <c r="B42" s="26" t="s">
        <v>80</v>
      </c>
      <c r="C42" s="9" t="s">
        <v>10</v>
      </c>
      <c r="D42" s="50" t="s">
        <v>81</v>
      </c>
      <c r="E42" s="50" t="s">
        <v>82</v>
      </c>
      <c r="F42" s="79">
        <v>2.185E7</v>
      </c>
      <c r="G42" s="74"/>
      <c r="H42" s="11"/>
      <c r="I42" s="74"/>
      <c r="J42" s="74"/>
      <c r="K42" s="74"/>
      <c r="L42" s="74"/>
      <c r="M42" s="74"/>
      <c r="N42" s="74"/>
      <c r="O42" s="2"/>
    </row>
    <row r="43">
      <c r="A43" s="2"/>
      <c r="B43" s="33"/>
      <c r="C43" s="33"/>
      <c r="D43" s="2"/>
      <c r="E43" s="2"/>
      <c r="F43" s="2"/>
      <c r="G43" s="2"/>
      <c r="H43" s="11"/>
      <c r="I43" s="2"/>
      <c r="J43" s="2"/>
      <c r="K43" s="2"/>
      <c r="L43" s="2"/>
      <c r="M43" s="2"/>
      <c r="N43" s="2"/>
      <c r="O43" s="2"/>
    </row>
    <row r="44">
      <c r="A44" s="2"/>
      <c r="B44" s="2"/>
      <c r="C44" s="2"/>
      <c r="D44" s="2"/>
      <c r="E44" s="2"/>
      <c r="F44" s="2"/>
      <c r="G44" s="2"/>
      <c r="H44" s="11"/>
      <c r="I44" s="2"/>
      <c r="J44" s="2"/>
      <c r="K44" s="2"/>
      <c r="L44" s="2"/>
      <c r="M44" s="2"/>
      <c r="N44" s="2"/>
      <c r="O44" s="2"/>
    </row>
    <row r="45">
      <c r="A45" s="2"/>
      <c r="B45" s="2"/>
      <c r="C45" s="2"/>
      <c r="D45" s="2"/>
      <c r="E45" s="2"/>
      <c r="F45" s="2"/>
      <c r="G45" s="2"/>
      <c r="H45" s="11"/>
      <c r="I45" s="2"/>
      <c r="J45" s="2"/>
      <c r="K45" s="2"/>
      <c r="L45" s="2"/>
      <c r="M45" s="2"/>
      <c r="N45" s="2"/>
      <c r="O45" s="2"/>
    </row>
    <row r="46">
      <c r="A46" s="45" t="s">
        <v>0</v>
      </c>
      <c r="B46" s="45" t="s">
        <v>1</v>
      </c>
      <c r="C46" s="46"/>
      <c r="D46" s="45" t="s">
        <v>3</v>
      </c>
      <c r="E46" s="46"/>
      <c r="F46" s="45" t="s">
        <v>5</v>
      </c>
      <c r="G46" s="44"/>
      <c r="H46" s="11"/>
      <c r="I46" s="2"/>
      <c r="J46" s="2"/>
      <c r="K46" s="2"/>
      <c r="L46" s="2"/>
      <c r="M46" s="2"/>
      <c r="N46" s="2"/>
      <c r="O46" s="2"/>
    </row>
    <row r="47">
      <c r="A47" s="60">
        <v>1.0</v>
      </c>
      <c r="B47" s="6" t="s">
        <v>87</v>
      </c>
      <c r="C47" s="9" t="s">
        <v>10</v>
      </c>
      <c r="D47" s="50" t="s">
        <v>81</v>
      </c>
      <c r="E47" s="50" t="s">
        <v>88</v>
      </c>
      <c r="F47" s="78">
        <v>4.0E7</v>
      </c>
      <c r="G47" s="28"/>
      <c r="H47" s="11"/>
      <c r="I47" s="2"/>
      <c r="J47" s="2"/>
      <c r="K47" s="2"/>
      <c r="L47" s="2"/>
      <c r="M47" s="2"/>
      <c r="N47" s="2"/>
      <c r="O47" s="2"/>
    </row>
    <row r="48">
      <c r="A48" s="60">
        <v>2.0</v>
      </c>
      <c r="B48" s="6" t="s">
        <v>89</v>
      </c>
      <c r="C48" s="8" t="s">
        <v>10</v>
      </c>
      <c r="D48" s="8" t="s">
        <v>90</v>
      </c>
      <c r="E48" s="8" t="s">
        <v>91</v>
      </c>
      <c r="F48" s="62"/>
      <c r="G48" s="44"/>
      <c r="H48" s="11"/>
      <c r="I48" s="2"/>
      <c r="J48" s="2"/>
      <c r="K48" s="2"/>
      <c r="L48" s="2"/>
      <c r="M48" s="2"/>
      <c r="N48" s="2"/>
      <c r="O48" s="2"/>
    </row>
    <row r="49">
      <c r="A49" s="60">
        <v>3.0</v>
      </c>
      <c r="B49" s="6" t="s">
        <v>92</v>
      </c>
      <c r="C49" s="8" t="s">
        <v>10</v>
      </c>
      <c r="D49" s="8" t="s">
        <v>90</v>
      </c>
      <c r="E49" s="8" t="s">
        <v>91</v>
      </c>
      <c r="F49" s="62"/>
      <c r="G49" s="81"/>
      <c r="H49" s="11"/>
      <c r="I49" s="74"/>
      <c r="J49" s="74"/>
      <c r="K49" s="74"/>
      <c r="L49" s="74"/>
      <c r="M49" s="74"/>
      <c r="N49" s="74"/>
      <c r="O49" s="2"/>
    </row>
    <row r="50">
      <c r="A50" s="60">
        <v>4.0</v>
      </c>
      <c r="B50" s="6" t="s">
        <v>94</v>
      </c>
      <c r="C50" s="8" t="s">
        <v>10</v>
      </c>
      <c r="D50" s="8" t="s">
        <v>90</v>
      </c>
      <c r="E50" s="8" t="s">
        <v>91</v>
      </c>
      <c r="F50" s="62"/>
      <c r="G50" s="44"/>
      <c r="H50" s="11"/>
      <c r="I50" s="74"/>
      <c r="J50" s="74"/>
      <c r="K50" s="74"/>
      <c r="L50" s="74"/>
      <c r="M50" s="74"/>
      <c r="N50" s="74"/>
      <c r="O50" s="2"/>
    </row>
    <row r="51">
      <c r="A51" s="60">
        <v>5.0</v>
      </c>
      <c r="B51" s="6" t="s">
        <v>95</v>
      </c>
      <c r="C51" s="8" t="s">
        <v>10</v>
      </c>
      <c r="D51" s="8" t="s">
        <v>25</v>
      </c>
      <c r="E51" s="8" t="s">
        <v>96</v>
      </c>
      <c r="F51" s="82"/>
      <c r="G51" s="44"/>
      <c r="H51" s="11"/>
      <c r="I51" s="2"/>
      <c r="J51" s="2"/>
      <c r="K51" s="2"/>
      <c r="L51" s="2"/>
      <c r="M51" s="2"/>
      <c r="N51" s="2"/>
      <c r="O51" s="2"/>
    </row>
    <row r="52">
      <c r="A52" s="48">
        <v>6.0</v>
      </c>
      <c r="B52" s="72" t="s">
        <v>97</v>
      </c>
      <c r="C52" s="50" t="s">
        <v>10</v>
      </c>
      <c r="D52" s="8" t="s">
        <v>90</v>
      </c>
      <c r="E52" s="8" t="s">
        <v>91</v>
      </c>
      <c r="F52" s="50"/>
      <c r="G52" s="81"/>
      <c r="H52" s="11"/>
      <c r="I52" s="2"/>
      <c r="J52" s="2"/>
      <c r="K52" s="2"/>
      <c r="L52" s="2"/>
      <c r="M52" s="2"/>
      <c r="N52" s="2"/>
      <c r="O52" s="2"/>
    </row>
    <row r="53">
      <c r="A53" s="48">
        <v>7.0</v>
      </c>
      <c r="B53" s="72" t="s">
        <v>98</v>
      </c>
      <c r="C53" s="50" t="s">
        <v>10</v>
      </c>
      <c r="D53" s="8" t="s">
        <v>90</v>
      </c>
      <c r="E53" s="8" t="s">
        <v>91</v>
      </c>
      <c r="F53" s="50"/>
      <c r="G53" s="81"/>
      <c r="H53" s="11"/>
      <c r="I53" s="2"/>
      <c r="J53" s="2"/>
      <c r="K53" s="2"/>
      <c r="L53" s="2"/>
      <c r="M53" s="2"/>
      <c r="N53" s="2"/>
      <c r="O53" s="2"/>
    </row>
    <row r="54">
      <c r="A54" s="57">
        <v>8.0</v>
      </c>
      <c r="B54" s="23" t="s">
        <v>100</v>
      </c>
      <c r="C54" s="50" t="s">
        <v>10</v>
      </c>
      <c r="D54" s="50"/>
      <c r="E54" s="57" t="s">
        <v>101</v>
      </c>
      <c r="F54" s="50"/>
      <c r="G54" s="2"/>
      <c r="H54" s="11"/>
      <c r="I54" s="2"/>
      <c r="J54" s="2"/>
      <c r="K54" s="2"/>
      <c r="L54" s="2"/>
      <c r="M54" s="2"/>
      <c r="N54" s="2"/>
      <c r="O54" s="2"/>
    </row>
    <row r="55">
      <c r="G55" s="44"/>
      <c r="H55" s="11"/>
      <c r="I55" s="2"/>
      <c r="J55" s="2"/>
      <c r="K55" s="2"/>
      <c r="L55" s="2"/>
      <c r="M55" s="2"/>
      <c r="N55" s="2"/>
      <c r="O55" s="2"/>
    </row>
    <row r="56">
      <c r="G56" s="85"/>
      <c r="H56" s="11"/>
      <c r="I56" s="85"/>
      <c r="J56" s="85"/>
      <c r="K56" s="85"/>
      <c r="L56" s="85"/>
      <c r="M56" s="85"/>
      <c r="N56" s="85"/>
      <c r="O56" s="2"/>
    </row>
    <row r="57">
      <c r="A57" s="2"/>
      <c r="B57" s="2"/>
      <c r="C57" s="2"/>
      <c r="D57" s="2"/>
      <c r="E57" s="2"/>
      <c r="F57" s="2"/>
      <c r="G57" s="2"/>
      <c r="H57" s="11"/>
      <c r="I57" s="2"/>
      <c r="J57" s="2"/>
      <c r="K57" s="2"/>
      <c r="L57" s="2"/>
      <c r="M57" s="2"/>
      <c r="N57" s="2"/>
      <c r="O57" s="2"/>
    </row>
    <row r="58">
      <c r="A58" s="2"/>
      <c r="B58" s="2"/>
      <c r="C58" s="2"/>
      <c r="D58" s="2"/>
      <c r="E58" s="2"/>
      <c r="F58" s="2"/>
      <c r="G58" s="2"/>
      <c r="H58" s="11"/>
      <c r="I58" s="2"/>
      <c r="J58" s="2"/>
      <c r="K58" s="2"/>
      <c r="L58" s="2"/>
      <c r="M58" s="2"/>
      <c r="N58" s="2"/>
      <c r="O58" s="2"/>
    </row>
    <row r="59">
      <c r="A59" s="45" t="s">
        <v>0</v>
      </c>
      <c r="B59" s="45" t="s">
        <v>1</v>
      </c>
      <c r="C59" s="46"/>
      <c r="D59" s="45" t="s">
        <v>3</v>
      </c>
      <c r="E59" s="46"/>
      <c r="F59" s="45" t="s">
        <v>5</v>
      </c>
      <c r="H59" s="11"/>
      <c r="I59" s="2"/>
      <c r="J59" s="2"/>
      <c r="K59" s="2"/>
      <c r="L59" s="2"/>
      <c r="M59" s="2"/>
      <c r="N59" s="2"/>
      <c r="O59" s="2"/>
    </row>
    <row r="60">
      <c r="A60" s="60">
        <v>1.0</v>
      </c>
      <c r="B60" s="6" t="s">
        <v>83</v>
      </c>
      <c r="C60" s="9" t="s">
        <v>10</v>
      </c>
      <c r="D60" s="50" t="s">
        <v>81</v>
      </c>
      <c r="E60" s="50" t="s">
        <v>84</v>
      </c>
      <c r="F60" s="37"/>
      <c r="H60" s="11"/>
      <c r="I60" s="11"/>
      <c r="J60" s="11"/>
      <c r="K60" s="11"/>
      <c r="L60" s="11"/>
      <c r="M60" s="11"/>
      <c r="N60" s="11"/>
      <c r="O60" s="2"/>
    </row>
    <row r="61">
      <c r="A61" s="60">
        <v>2.0</v>
      </c>
      <c r="B61" s="6" t="s">
        <v>85</v>
      </c>
      <c r="C61" s="8" t="s">
        <v>10</v>
      </c>
      <c r="D61" s="50" t="s">
        <v>81</v>
      </c>
      <c r="E61" s="50" t="s">
        <v>84</v>
      </c>
      <c r="F61" s="62"/>
      <c r="H61" s="2"/>
      <c r="I61" s="2"/>
      <c r="J61" s="2"/>
      <c r="K61" s="2"/>
      <c r="L61" s="2"/>
      <c r="M61" s="2"/>
      <c r="N61" s="2"/>
      <c r="O61" s="2"/>
    </row>
    <row r="62">
      <c r="H62" s="2"/>
      <c r="I62" s="2"/>
      <c r="J62" s="2"/>
      <c r="K62" s="2"/>
      <c r="L62" s="2"/>
      <c r="M62" s="2"/>
      <c r="N62" s="2"/>
      <c r="O62" s="2"/>
    </row>
    <row r="63">
      <c r="H63" s="2"/>
      <c r="I63" s="2"/>
      <c r="J63" s="2"/>
      <c r="K63" s="2"/>
      <c r="L63" s="2"/>
      <c r="M63" s="2"/>
      <c r="N63" s="2"/>
      <c r="O63" s="2"/>
    </row>
    <row r="64">
      <c r="H64" s="2"/>
      <c r="I64" s="2"/>
      <c r="J64" s="2"/>
      <c r="K64" s="2"/>
      <c r="L64" s="2"/>
      <c r="M64" s="2"/>
      <c r="N64" s="2"/>
      <c r="O64" s="2"/>
    </row>
    <row r="65">
      <c r="A65" s="45" t="s">
        <v>0</v>
      </c>
      <c r="B65" s="45" t="s">
        <v>1</v>
      </c>
      <c r="C65" s="46"/>
      <c r="D65" s="45" t="s">
        <v>3</v>
      </c>
      <c r="E65" s="46"/>
      <c r="F65" s="45" t="s">
        <v>5</v>
      </c>
      <c r="H65" s="2"/>
      <c r="I65" s="2"/>
      <c r="J65" s="2"/>
      <c r="K65" s="2"/>
      <c r="L65" s="2"/>
      <c r="M65" s="2"/>
      <c r="N65" s="2"/>
      <c r="O65" s="2"/>
    </row>
    <row r="66">
      <c r="A66" s="60">
        <v>1.0</v>
      </c>
      <c r="B66" s="6" t="s">
        <v>107</v>
      </c>
      <c r="C66" s="9" t="s">
        <v>10</v>
      </c>
      <c r="D66" s="57" t="s">
        <v>114</v>
      </c>
      <c r="E66" s="57" t="s">
        <v>23</v>
      </c>
      <c r="F66" s="37"/>
      <c r="H66" s="2"/>
      <c r="I66" s="2"/>
      <c r="J66" s="2"/>
      <c r="K66" s="2"/>
      <c r="L66" s="2"/>
      <c r="M66" s="2"/>
      <c r="N66" s="2"/>
      <c r="O66" s="2"/>
    </row>
    <row r="67">
      <c r="A67" s="57">
        <v>2.0</v>
      </c>
      <c r="B67" s="91" t="s">
        <v>108</v>
      </c>
      <c r="C67" s="9" t="s">
        <v>10</v>
      </c>
      <c r="D67" s="57" t="s">
        <v>114</v>
      </c>
      <c r="E67" s="57" t="s">
        <v>23</v>
      </c>
      <c r="F67" s="50"/>
      <c r="G67" s="33" t="s">
        <v>118</v>
      </c>
      <c r="H67" s="2"/>
      <c r="I67" s="2"/>
      <c r="J67" s="2"/>
      <c r="K67" s="2"/>
      <c r="L67" s="2"/>
      <c r="M67" s="2"/>
      <c r="N67" s="2"/>
      <c r="O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>
      <c r="G69" s="2"/>
      <c r="H69" s="2"/>
      <c r="I69" s="2"/>
      <c r="J69" s="2"/>
      <c r="K69" s="2"/>
      <c r="L69" s="2"/>
      <c r="M69" s="2"/>
      <c r="N69" s="2"/>
      <c r="O69" s="2"/>
    </row>
    <row r="70">
      <c r="A70" s="45" t="s">
        <v>0</v>
      </c>
      <c r="B70" s="45" t="s">
        <v>1</v>
      </c>
      <c r="C70" s="46"/>
      <c r="D70" s="45" t="s">
        <v>3</v>
      </c>
      <c r="E70" s="46"/>
      <c r="F70" s="45" t="s">
        <v>5</v>
      </c>
      <c r="G70" s="2"/>
      <c r="H70" s="2"/>
      <c r="I70" s="2"/>
      <c r="J70" s="2"/>
      <c r="K70" s="2"/>
      <c r="L70" s="2"/>
      <c r="M70" s="2"/>
      <c r="N70" s="2"/>
      <c r="O70" s="2"/>
    </row>
    <row r="71">
      <c r="A71" s="60">
        <v>1.0</v>
      </c>
      <c r="B71" s="6" t="s">
        <v>110</v>
      </c>
      <c r="C71" s="9" t="s">
        <v>10</v>
      </c>
      <c r="D71" s="50" t="s">
        <v>111</v>
      </c>
      <c r="E71" s="50" t="s">
        <v>20</v>
      </c>
      <c r="F71" s="37"/>
      <c r="G71" s="2"/>
      <c r="H71" s="2"/>
      <c r="I71" s="2"/>
      <c r="J71" s="2"/>
      <c r="K71" s="2"/>
      <c r="L71" s="2"/>
      <c r="M71" s="2"/>
      <c r="N71" s="2"/>
      <c r="O71" s="2"/>
    </row>
    <row r="72">
      <c r="A72" s="60">
        <v>2.0</v>
      </c>
      <c r="B72" s="61" t="s">
        <v>112</v>
      </c>
      <c r="C72" s="8" t="s">
        <v>10</v>
      </c>
      <c r="D72" s="50" t="s">
        <v>111</v>
      </c>
      <c r="E72" s="50" t="s">
        <v>20</v>
      </c>
      <c r="F72" s="62"/>
      <c r="G72" s="2"/>
      <c r="H72" s="2"/>
      <c r="I72" s="2"/>
      <c r="J72" s="2"/>
      <c r="K72" s="2"/>
      <c r="L72" s="2"/>
      <c r="M72" s="2"/>
      <c r="N72" s="2"/>
      <c r="O72" s="2"/>
    </row>
    <row r="73">
      <c r="A73" s="48">
        <v>3.0</v>
      </c>
      <c r="B73" s="90" t="s">
        <v>116</v>
      </c>
      <c r="C73" s="9" t="s">
        <v>10</v>
      </c>
      <c r="D73" s="50" t="s">
        <v>117</v>
      </c>
      <c r="E73" s="50" t="s">
        <v>20</v>
      </c>
      <c r="F73" s="50"/>
      <c r="G73" s="2"/>
      <c r="H73" s="2"/>
      <c r="I73" s="2"/>
      <c r="J73" s="2"/>
      <c r="K73" s="2"/>
      <c r="L73" s="2"/>
      <c r="M73" s="2"/>
      <c r="N73" s="2"/>
      <c r="O73" s="2"/>
    </row>
    <row r="74">
      <c r="A74" s="60">
        <v>4.0</v>
      </c>
      <c r="B74" s="92" t="s">
        <v>119</v>
      </c>
      <c r="C74" s="8" t="s">
        <v>10</v>
      </c>
      <c r="D74" s="50" t="s">
        <v>117</v>
      </c>
      <c r="E74" s="50" t="s">
        <v>20</v>
      </c>
      <c r="F74" s="50"/>
      <c r="G74" s="2"/>
      <c r="H74" s="2"/>
      <c r="I74" s="2"/>
      <c r="J74" s="2"/>
      <c r="K74" s="2"/>
      <c r="L74" s="2"/>
      <c r="M74" s="2"/>
      <c r="N74" s="2"/>
      <c r="O74" s="2"/>
    </row>
    <row r="75">
      <c r="A75" s="48">
        <v>5.0</v>
      </c>
      <c r="B75" s="72" t="s">
        <v>120</v>
      </c>
      <c r="C75" s="9" t="s">
        <v>10</v>
      </c>
      <c r="D75" s="50" t="s">
        <v>117</v>
      </c>
      <c r="E75" s="50" t="s">
        <v>20</v>
      </c>
      <c r="F75" s="50"/>
      <c r="G75" s="2"/>
      <c r="H75" s="2"/>
      <c r="I75" s="2"/>
      <c r="J75" s="2"/>
      <c r="K75" s="2"/>
      <c r="L75" s="2"/>
      <c r="M75" s="2"/>
      <c r="N75" s="2"/>
      <c r="O75" s="2"/>
    </row>
    <row r="76">
      <c r="A76" s="60">
        <v>6.0</v>
      </c>
      <c r="B76" s="72" t="s">
        <v>121</v>
      </c>
      <c r="C76" s="8" t="s">
        <v>10</v>
      </c>
      <c r="D76" s="50" t="s">
        <v>117</v>
      </c>
      <c r="E76" s="50" t="s">
        <v>20</v>
      </c>
      <c r="F76" s="50"/>
      <c r="G76" s="2"/>
      <c r="H76" s="2"/>
      <c r="I76" s="2"/>
      <c r="J76" s="2"/>
      <c r="K76" s="2"/>
      <c r="L76" s="2"/>
      <c r="M76" s="2"/>
      <c r="N76" s="2"/>
      <c r="O76" s="2"/>
    </row>
    <row r="77">
      <c r="A77" s="48">
        <v>7.0</v>
      </c>
      <c r="B77" s="90" t="s">
        <v>122</v>
      </c>
      <c r="C77" s="9" t="s">
        <v>10</v>
      </c>
      <c r="D77" s="50" t="s">
        <v>111</v>
      </c>
      <c r="E77" s="50" t="s">
        <v>20</v>
      </c>
      <c r="F77" s="50"/>
      <c r="G77" s="2"/>
      <c r="H77" s="2"/>
      <c r="I77" s="2"/>
      <c r="J77" s="2"/>
      <c r="K77" s="2"/>
      <c r="L77" s="2"/>
      <c r="M77" s="2"/>
      <c r="N77" s="2"/>
      <c r="O77" s="2"/>
    </row>
    <row r="78">
      <c r="A78" s="50"/>
      <c r="B78" s="50"/>
      <c r="C78" s="50"/>
      <c r="D78" s="50"/>
      <c r="E78" s="50"/>
      <c r="F78" s="50"/>
      <c r="G78" s="2"/>
      <c r="H78" s="2"/>
      <c r="I78" s="2"/>
      <c r="J78" s="2"/>
      <c r="K78" s="2"/>
      <c r="L78" s="2"/>
      <c r="M78" s="2"/>
      <c r="N78" s="2"/>
      <c r="O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>
      <c r="A80" s="44"/>
      <c r="B80" s="44"/>
      <c r="C80" s="44"/>
      <c r="D80" s="44"/>
      <c r="E80" s="44"/>
      <c r="F80" s="44"/>
      <c r="G80" s="2"/>
      <c r="H80" s="2"/>
      <c r="I80" s="2"/>
      <c r="J80" s="2"/>
      <c r="K80" s="2"/>
      <c r="L80" s="2"/>
      <c r="M80" s="2"/>
      <c r="N80" s="2"/>
      <c r="O80" s="2"/>
    </row>
    <row r="81">
      <c r="A81" s="44"/>
      <c r="B81" s="44"/>
      <c r="C81" s="44"/>
      <c r="D81" s="44"/>
      <c r="E81" s="44"/>
      <c r="F81" s="44"/>
      <c r="G81" s="2"/>
      <c r="H81" s="2"/>
      <c r="I81" s="2"/>
      <c r="J81" s="2"/>
      <c r="K81" s="2"/>
      <c r="L81" s="2"/>
      <c r="M81" s="2"/>
      <c r="N81" s="2"/>
      <c r="O81" s="2"/>
    </row>
    <row r="82">
      <c r="A82" s="45" t="s">
        <v>0</v>
      </c>
      <c r="B82" s="45" t="s">
        <v>1</v>
      </c>
      <c r="C82" s="46"/>
      <c r="D82" s="45" t="s">
        <v>3</v>
      </c>
      <c r="E82" s="46"/>
      <c r="F82" s="45" t="s">
        <v>5</v>
      </c>
      <c r="G82" s="2"/>
      <c r="H82" s="2"/>
      <c r="I82" s="2"/>
      <c r="J82" s="2"/>
      <c r="K82" s="2"/>
      <c r="L82" s="2"/>
      <c r="M82" s="2"/>
      <c r="N82" s="2"/>
      <c r="O82" s="2"/>
    </row>
    <row r="83">
      <c r="A83" s="60">
        <v>1.0</v>
      </c>
      <c r="B83" s="97" t="s">
        <v>125</v>
      </c>
      <c r="C83" s="9" t="s">
        <v>10</v>
      </c>
      <c r="D83" s="57" t="s">
        <v>126</v>
      </c>
      <c r="E83" s="57" t="s">
        <v>27</v>
      </c>
      <c r="F83" s="98"/>
      <c r="G83" s="2"/>
      <c r="H83" s="2"/>
      <c r="I83" s="2"/>
      <c r="J83" s="2"/>
      <c r="K83" s="2"/>
      <c r="L83" s="2"/>
      <c r="M83" s="2"/>
      <c r="N83" s="2"/>
      <c r="O83" s="2"/>
    </row>
    <row r="84">
      <c r="A84" s="77">
        <v>2.0</v>
      </c>
      <c r="B84" s="100" t="s">
        <v>128</v>
      </c>
      <c r="C84" s="9" t="s">
        <v>10</v>
      </c>
      <c r="D84" s="57" t="s">
        <v>126</v>
      </c>
      <c r="E84" s="57" t="s">
        <v>27</v>
      </c>
      <c r="F84" s="62"/>
      <c r="G84" s="2"/>
      <c r="H84" s="2"/>
      <c r="I84" s="2"/>
      <c r="J84" s="2"/>
      <c r="K84" s="2"/>
      <c r="L84" s="2"/>
      <c r="M84" s="2"/>
      <c r="N84" s="2"/>
      <c r="O84" s="2"/>
    </row>
    <row r="85">
      <c r="A85" s="102">
        <v>3.0</v>
      </c>
      <c r="B85" s="97" t="s">
        <v>129</v>
      </c>
      <c r="C85" s="9" t="s">
        <v>10</v>
      </c>
      <c r="D85" s="102" t="s">
        <v>131</v>
      </c>
      <c r="E85" s="57" t="s">
        <v>27</v>
      </c>
      <c r="F85" s="73"/>
      <c r="G85" s="2"/>
      <c r="H85" s="2"/>
      <c r="I85" s="2"/>
      <c r="J85" s="2"/>
      <c r="K85" s="2"/>
      <c r="L85" s="2"/>
      <c r="M85" s="2"/>
      <c r="N85" s="2"/>
      <c r="O85" s="2"/>
    </row>
    <row r="86">
      <c r="A86" s="102">
        <v>4.0</v>
      </c>
      <c r="B86" s="66" t="s">
        <v>138</v>
      </c>
      <c r="C86" s="103" t="s">
        <v>10</v>
      </c>
      <c r="D86" s="102" t="s">
        <v>131</v>
      </c>
      <c r="E86" s="57" t="s">
        <v>27</v>
      </c>
      <c r="F86" s="73"/>
      <c r="G86" s="33" t="s">
        <v>139</v>
      </c>
      <c r="H86" s="2"/>
      <c r="I86" s="2"/>
      <c r="J86" s="2"/>
      <c r="K86" s="2"/>
      <c r="L86" s="2"/>
      <c r="M86" s="2"/>
      <c r="N86" s="2"/>
      <c r="O86" s="2"/>
    </row>
    <row r="87">
      <c r="A87" s="102">
        <v>5.0</v>
      </c>
      <c r="B87" s="100" t="s">
        <v>135</v>
      </c>
      <c r="C87" s="9" t="s">
        <v>10</v>
      </c>
      <c r="D87" s="102" t="s">
        <v>131</v>
      </c>
      <c r="E87" s="57" t="s">
        <v>27</v>
      </c>
      <c r="F87" s="73"/>
      <c r="G87" s="2"/>
      <c r="H87" s="2"/>
      <c r="I87" s="2"/>
      <c r="J87" s="2"/>
      <c r="K87" s="2"/>
      <c r="L87" s="2"/>
      <c r="M87" s="2"/>
      <c r="N87" s="2"/>
      <c r="O87" s="2"/>
    </row>
    <row r="88">
      <c r="A88" s="102">
        <v>6.0</v>
      </c>
      <c r="B88" s="100" t="s">
        <v>136</v>
      </c>
      <c r="C88" s="9" t="s">
        <v>10</v>
      </c>
      <c r="D88" s="102" t="s">
        <v>137</v>
      </c>
      <c r="E88" s="57" t="s">
        <v>27</v>
      </c>
      <c r="F88" s="73"/>
      <c r="G88" s="2"/>
      <c r="H88" s="2"/>
      <c r="I88" s="2"/>
      <c r="J88" s="2"/>
      <c r="K88" s="2"/>
      <c r="L88" s="2"/>
      <c r="M88" s="2"/>
      <c r="N88" s="2"/>
      <c r="O88" s="2"/>
    </row>
    <row r="89">
      <c r="A89" s="2"/>
      <c r="B89" s="4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>
      <c r="A90" s="2"/>
      <c r="B90" s="4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>
      <c r="A91" s="2"/>
      <c r="B91" s="4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>
      <c r="A92" s="45" t="s">
        <v>0</v>
      </c>
      <c r="B92" s="45" t="s">
        <v>1</v>
      </c>
      <c r="C92" s="46"/>
      <c r="D92" s="45" t="s">
        <v>3</v>
      </c>
      <c r="E92" s="46"/>
      <c r="F92" s="45" t="s">
        <v>5</v>
      </c>
      <c r="G92" s="2"/>
      <c r="H92" s="2"/>
      <c r="I92" s="2"/>
      <c r="J92" s="2"/>
      <c r="K92" s="2"/>
      <c r="L92" s="2"/>
      <c r="M92" s="2"/>
      <c r="N92" s="2"/>
      <c r="O92" s="2"/>
    </row>
    <row r="93">
      <c r="A93" s="60">
        <v>1.0</v>
      </c>
      <c r="B93" s="66" t="s">
        <v>141</v>
      </c>
      <c r="C93" s="9" t="s">
        <v>10</v>
      </c>
      <c r="D93" s="57" t="s">
        <v>142</v>
      </c>
      <c r="E93" s="57" t="s">
        <v>29</v>
      </c>
      <c r="F93" s="98">
        <v>1.87E7</v>
      </c>
      <c r="G93" s="33" t="s">
        <v>143</v>
      </c>
      <c r="H93" s="2"/>
      <c r="I93" s="2"/>
      <c r="J93" s="2"/>
      <c r="K93" s="2"/>
      <c r="L93" s="2"/>
      <c r="M93" s="2"/>
      <c r="N93" s="2"/>
      <c r="O93" s="2"/>
    </row>
    <row r="94">
      <c r="A94" s="60"/>
      <c r="B94" s="6"/>
      <c r="C94" s="8"/>
      <c r="D94" s="50"/>
      <c r="E94" s="50"/>
      <c r="F94" s="62"/>
      <c r="G94" s="101"/>
      <c r="H94" s="2"/>
      <c r="I94" s="2"/>
      <c r="J94" s="2"/>
      <c r="K94" s="2"/>
      <c r="L94" s="2"/>
      <c r="M94" s="2"/>
      <c r="N94" s="2"/>
      <c r="O94" s="2"/>
    </row>
    <row r="95">
      <c r="G95" s="101"/>
      <c r="H95" s="2"/>
      <c r="I95" s="2"/>
      <c r="J95" s="2"/>
      <c r="K95" s="2"/>
      <c r="L95" s="2"/>
      <c r="M95" s="2"/>
      <c r="N95" s="2"/>
      <c r="O95" s="2"/>
    </row>
    <row r="96">
      <c r="G96" s="2"/>
      <c r="H96" s="2"/>
      <c r="I96" s="2"/>
      <c r="J96" s="2"/>
      <c r="K96" s="2"/>
      <c r="L96" s="2"/>
      <c r="M96" s="2"/>
      <c r="N96" s="2"/>
      <c r="O96" s="2"/>
    </row>
    <row r="97">
      <c r="G97" s="2"/>
      <c r="H97" s="2"/>
      <c r="I97" s="2"/>
      <c r="J97" s="2"/>
      <c r="K97" s="2"/>
      <c r="L97" s="2"/>
      <c r="M97" s="2"/>
      <c r="N97" s="2"/>
      <c r="O97" s="2"/>
    </row>
    <row r="98">
      <c r="G98" s="2"/>
      <c r="H98" s="2"/>
      <c r="I98" s="2"/>
      <c r="J98" s="2"/>
      <c r="K98" s="2"/>
      <c r="L98" s="2"/>
      <c r="M98" s="2"/>
      <c r="N98" s="2"/>
      <c r="O98" s="2"/>
    </row>
    <row r="99">
      <c r="G99" s="2"/>
      <c r="H99" s="2"/>
      <c r="I99" s="2"/>
      <c r="J99" s="2"/>
      <c r="K99" s="2"/>
      <c r="L99" s="2"/>
      <c r="M99" s="2"/>
      <c r="N99" s="2"/>
      <c r="O99" s="2"/>
    </row>
    <row r="100">
      <c r="G100" s="2"/>
      <c r="H100" s="2"/>
      <c r="I100" s="2"/>
      <c r="J100" s="2"/>
      <c r="K100" s="2"/>
      <c r="L100" s="2"/>
      <c r="M100" s="2"/>
      <c r="N100" s="2"/>
      <c r="O100" s="2"/>
    </row>
    <row r="101">
      <c r="G101" s="2"/>
      <c r="H101" s="2"/>
      <c r="I101" s="2"/>
      <c r="J101" s="2"/>
      <c r="K101" s="2"/>
      <c r="L101" s="2"/>
      <c r="M101" s="2"/>
      <c r="N101" s="2"/>
      <c r="O101" s="2"/>
    </row>
    <row r="102">
      <c r="A102" s="2"/>
      <c r="B102" s="59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>
      <c r="A103" s="2"/>
      <c r="B103" s="59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32.75"/>
    <col customWidth="1" min="3" max="3" width="8.5"/>
    <col customWidth="1" min="5" max="5" width="29.13"/>
    <col customWidth="1" min="6" max="6" width="17.38"/>
    <col customWidth="1" min="7" max="7" width="15.38"/>
    <col customWidth="1" min="9" max="9" width="2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3" t="s">
        <v>6</v>
      </c>
      <c r="J1" s="3" t="s">
        <v>7</v>
      </c>
      <c r="K1" s="2"/>
      <c r="L1" s="4"/>
      <c r="M1" s="4"/>
      <c r="N1" s="4"/>
      <c r="O1" s="2"/>
    </row>
    <row r="2">
      <c r="A2" s="5">
        <v>1.0</v>
      </c>
      <c r="B2" s="13" t="s">
        <v>8</v>
      </c>
      <c r="C2" s="8" t="s">
        <v>10</v>
      </c>
      <c r="D2" s="9" t="s">
        <v>11</v>
      </c>
      <c r="E2" s="9" t="s">
        <v>12</v>
      </c>
      <c r="F2" s="10">
        <v>1.575E7</v>
      </c>
      <c r="G2" s="18" t="s">
        <v>21</v>
      </c>
      <c r="H2" s="11"/>
      <c r="I2" s="12" t="s">
        <v>13</v>
      </c>
      <c r="J2" s="14">
        <v>9.0</v>
      </c>
      <c r="K2" s="11"/>
      <c r="L2" s="11"/>
      <c r="M2" s="15"/>
      <c r="N2" s="11"/>
      <c r="O2" s="2"/>
    </row>
    <row r="3">
      <c r="A3" s="5">
        <v>2.0</v>
      </c>
      <c r="B3" s="6" t="s">
        <v>14</v>
      </c>
      <c r="C3" s="8" t="s">
        <v>15</v>
      </c>
      <c r="D3" s="16" t="s">
        <v>16</v>
      </c>
      <c r="E3" s="9" t="s">
        <v>12</v>
      </c>
      <c r="F3" s="10">
        <v>2.94E7</v>
      </c>
      <c r="G3" s="18" t="s">
        <v>30</v>
      </c>
      <c r="H3" s="11"/>
      <c r="I3" s="12" t="s">
        <v>17</v>
      </c>
      <c r="J3" s="14">
        <v>8.0</v>
      </c>
      <c r="K3" s="11"/>
      <c r="L3" s="11"/>
      <c r="M3" s="11"/>
      <c r="N3" s="11"/>
      <c r="O3" s="2"/>
    </row>
    <row r="4">
      <c r="A4" s="5">
        <v>3.0</v>
      </c>
      <c r="B4" s="6" t="s">
        <v>18</v>
      </c>
      <c r="C4" s="8" t="s">
        <v>15</v>
      </c>
      <c r="D4" s="9" t="s">
        <v>19</v>
      </c>
      <c r="E4" s="9" t="s">
        <v>12</v>
      </c>
      <c r="F4" s="10">
        <v>2.1E7</v>
      </c>
      <c r="G4" s="18" t="s">
        <v>37</v>
      </c>
      <c r="H4" s="11"/>
      <c r="I4" s="12" t="s">
        <v>20</v>
      </c>
      <c r="J4" s="14">
        <v>7.0</v>
      </c>
      <c r="K4" s="11"/>
      <c r="L4" s="11"/>
      <c r="M4" s="11"/>
      <c r="N4" s="11"/>
      <c r="O4" s="2"/>
    </row>
    <row r="5">
      <c r="A5" s="5">
        <v>4.0</v>
      </c>
      <c r="B5" s="27" t="s">
        <v>22</v>
      </c>
      <c r="C5" s="8" t="s">
        <v>10</v>
      </c>
      <c r="D5" s="20" t="s">
        <v>19</v>
      </c>
      <c r="E5" s="20" t="s">
        <v>12</v>
      </c>
      <c r="F5" s="10">
        <v>2.1E7</v>
      </c>
      <c r="G5" s="31">
        <v>46113.0</v>
      </c>
      <c r="H5" s="11"/>
      <c r="I5" s="12" t="s">
        <v>23</v>
      </c>
      <c r="J5" s="14">
        <v>1.0</v>
      </c>
      <c r="K5" s="11"/>
      <c r="L5" s="11"/>
      <c r="M5" s="11"/>
      <c r="N5" s="11"/>
      <c r="O5" s="2"/>
    </row>
    <row r="6">
      <c r="A6" s="5">
        <v>5.0</v>
      </c>
      <c r="B6" s="6" t="s">
        <v>24</v>
      </c>
      <c r="C6" s="8" t="s">
        <v>10</v>
      </c>
      <c r="D6" s="9" t="s">
        <v>25</v>
      </c>
      <c r="E6" s="8" t="s">
        <v>26</v>
      </c>
      <c r="F6" s="10">
        <v>2.2E7</v>
      </c>
      <c r="G6" s="39"/>
      <c r="H6" s="11"/>
      <c r="I6" s="22" t="s">
        <v>27</v>
      </c>
      <c r="J6" s="14">
        <v>6.0</v>
      </c>
      <c r="K6" s="11"/>
      <c r="L6" s="11"/>
      <c r="M6" s="11"/>
      <c r="N6" s="11"/>
      <c r="O6" s="2"/>
    </row>
    <row r="7">
      <c r="A7" s="5">
        <v>6.0</v>
      </c>
      <c r="B7" s="24" t="s">
        <v>28</v>
      </c>
      <c r="C7" s="8" t="s">
        <v>10</v>
      </c>
      <c r="D7" s="9" t="s">
        <v>19</v>
      </c>
      <c r="E7" s="9" t="s">
        <v>12</v>
      </c>
      <c r="F7" s="10">
        <v>2.1E7</v>
      </c>
      <c r="G7" s="31">
        <v>46113.0</v>
      </c>
      <c r="H7" s="11"/>
      <c r="I7" s="23" t="s">
        <v>29</v>
      </c>
      <c r="J7" s="14">
        <v>1.0</v>
      </c>
      <c r="K7" s="11"/>
      <c r="L7" s="11"/>
      <c r="M7" s="11"/>
      <c r="N7" s="11"/>
      <c r="O7" s="2"/>
    </row>
    <row r="8">
      <c r="A8" s="5">
        <v>7.0</v>
      </c>
      <c r="B8" s="6" t="s">
        <v>31</v>
      </c>
      <c r="C8" s="8" t="s">
        <v>15</v>
      </c>
      <c r="D8" s="9" t="s">
        <v>32</v>
      </c>
      <c r="E8" s="8" t="s">
        <v>33</v>
      </c>
      <c r="F8" s="10">
        <v>2.2387E7</v>
      </c>
      <c r="G8" s="42"/>
      <c r="H8" s="11"/>
      <c r="I8" s="23" t="s">
        <v>34</v>
      </c>
      <c r="J8" s="14">
        <v>1.0</v>
      </c>
      <c r="K8" s="11"/>
      <c r="L8" s="11"/>
      <c r="M8" s="11"/>
      <c r="N8" s="11"/>
      <c r="O8" s="2"/>
    </row>
    <row r="9">
      <c r="A9" s="5">
        <v>8.0</v>
      </c>
      <c r="B9" s="24" t="s">
        <v>35</v>
      </c>
      <c r="C9" s="8" t="s">
        <v>15</v>
      </c>
      <c r="D9" s="20" t="s">
        <v>16</v>
      </c>
      <c r="E9" s="9" t="s">
        <v>12</v>
      </c>
      <c r="F9" s="10">
        <v>2.94E7</v>
      </c>
      <c r="G9" s="31">
        <v>46113.0</v>
      </c>
      <c r="H9" s="11"/>
      <c r="I9" s="23" t="s">
        <v>38</v>
      </c>
      <c r="J9" s="14">
        <v>4.0</v>
      </c>
      <c r="K9" s="11"/>
      <c r="L9" s="11"/>
      <c r="M9" s="11"/>
      <c r="N9" s="11"/>
      <c r="O9" s="2"/>
    </row>
    <row r="10">
      <c r="A10" s="5">
        <v>9.0</v>
      </c>
      <c r="B10" s="26" t="s">
        <v>39</v>
      </c>
      <c r="C10" s="8" t="s">
        <v>10</v>
      </c>
      <c r="D10" s="9" t="s">
        <v>32</v>
      </c>
      <c r="E10" s="8" t="s">
        <v>33</v>
      </c>
      <c r="F10" s="10">
        <v>2.2387E7</v>
      </c>
      <c r="G10" s="11"/>
      <c r="H10" s="11"/>
      <c r="I10" s="23" t="s">
        <v>40</v>
      </c>
      <c r="J10" s="14">
        <v>2.0</v>
      </c>
      <c r="K10" s="28"/>
      <c r="L10" s="28"/>
      <c r="M10" s="28"/>
      <c r="N10" s="28"/>
      <c r="O10" s="2"/>
    </row>
    <row r="11">
      <c r="A11" s="5">
        <v>10.0</v>
      </c>
      <c r="B11" s="30" t="s">
        <v>42</v>
      </c>
      <c r="C11" s="8" t="s">
        <v>10</v>
      </c>
      <c r="D11" s="9" t="s">
        <v>19</v>
      </c>
      <c r="E11" s="9" t="s">
        <v>12</v>
      </c>
      <c r="F11" s="10">
        <v>2.1E7</v>
      </c>
      <c r="G11" s="11"/>
      <c r="H11" s="11"/>
      <c r="I11" s="23" t="s">
        <v>43</v>
      </c>
      <c r="J11" s="32">
        <v>12.0</v>
      </c>
      <c r="K11" s="28"/>
      <c r="L11" s="28"/>
      <c r="M11" s="28"/>
      <c r="N11" s="28"/>
      <c r="O11" s="2"/>
    </row>
    <row r="12">
      <c r="A12" s="2"/>
      <c r="B12" s="33"/>
      <c r="C12" s="33"/>
      <c r="D12" s="2"/>
      <c r="E12" s="2"/>
      <c r="F12" s="35"/>
      <c r="G12" s="2"/>
      <c r="H12" s="11"/>
      <c r="I12" s="23" t="s">
        <v>55</v>
      </c>
      <c r="J12" s="32">
        <v>1.0</v>
      </c>
      <c r="K12" s="2"/>
      <c r="L12" s="2"/>
      <c r="M12" s="2"/>
      <c r="N12" s="2"/>
      <c r="O12" s="2"/>
    </row>
    <row r="13">
      <c r="A13" s="2"/>
      <c r="B13" s="33" t="s">
        <v>44</v>
      </c>
      <c r="C13" s="33">
        <v>9.0</v>
      </c>
      <c r="D13" s="2"/>
      <c r="E13" s="2"/>
      <c r="F13" s="35"/>
      <c r="G13" s="2"/>
      <c r="H13" s="11"/>
      <c r="I13" s="38" t="s">
        <v>46</v>
      </c>
      <c r="J13" s="43">
        <f>SUM(J2:J12)</f>
        <v>52</v>
      </c>
      <c r="K13" s="2"/>
      <c r="L13" s="2"/>
      <c r="M13" s="2"/>
      <c r="N13" s="2"/>
      <c r="O13" s="2"/>
    </row>
    <row r="14">
      <c r="A14" s="44"/>
      <c r="B14" s="44"/>
      <c r="C14" s="44"/>
      <c r="D14" s="2"/>
      <c r="E14" s="2"/>
      <c r="F14" s="2"/>
      <c r="G14" s="2"/>
      <c r="H14" s="11"/>
      <c r="K14" s="2"/>
      <c r="L14" s="2"/>
      <c r="M14" s="2"/>
      <c r="N14" s="2"/>
      <c r="O14" s="2"/>
    </row>
    <row r="15">
      <c r="A15" s="44"/>
      <c r="B15" s="44"/>
      <c r="C15" s="44"/>
      <c r="D15" s="2"/>
      <c r="E15" s="2"/>
      <c r="F15" s="2"/>
      <c r="G15" s="2"/>
      <c r="H15" s="11"/>
      <c r="I15" s="2"/>
      <c r="J15" s="2"/>
      <c r="K15" s="2"/>
      <c r="L15" s="2"/>
      <c r="M15" s="2"/>
      <c r="N15" s="2"/>
      <c r="O15" s="2"/>
    </row>
    <row r="16">
      <c r="A16" s="44"/>
      <c r="B16" s="44"/>
      <c r="C16" s="44"/>
      <c r="D16" s="2"/>
      <c r="E16" s="2"/>
      <c r="F16" s="2"/>
      <c r="G16" s="2"/>
      <c r="H16" s="11"/>
      <c r="K16" s="2"/>
      <c r="L16" s="2"/>
      <c r="M16" s="2"/>
      <c r="N16" s="2"/>
      <c r="O16" s="2"/>
    </row>
    <row r="17">
      <c r="A17" s="45" t="s">
        <v>0</v>
      </c>
      <c r="B17" s="45" t="s">
        <v>1</v>
      </c>
      <c r="C17" s="45" t="s">
        <v>2</v>
      </c>
      <c r="D17" s="45" t="s">
        <v>3</v>
      </c>
      <c r="E17" s="46"/>
      <c r="F17" s="45" t="s">
        <v>5</v>
      </c>
      <c r="G17" s="2"/>
      <c r="H17" s="11"/>
      <c r="I17" s="2"/>
      <c r="J17" s="2"/>
      <c r="K17" s="2"/>
      <c r="L17" s="2"/>
      <c r="M17" s="2"/>
      <c r="N17" s="2"/>
      <c r="O17" s="2"/>
    </row>
    <row r="18">
      <c r="A18" s="48">
        <v>1.0</v>
      </c>
      <c r="B18" s="6" t="s">
        <v>51</v>
      </c>
      <c r="C18" s="6" t="s">
        <v>10</v>
      </c>
      <c r="D18" s="49" t="s">
        <v>52</v>
      </c>
      <c r="E18" s="9" t="s">
        <v>53</v>
      </c>
      <c r="F18" s="48" t="s">
        <v>54</v>
      </c>
      <c r="G18" s="2"/>
      <c r="H18" s="11"/>
      <c r="J18" s="2"/>
      <c r="K18" s="2"/>
      <c r="L18" s="2"/>
      <c r="M18" s="2"/>
      <c r="N18" s="2"/>
      <c r="O18" s="2"/>
    </row>
    <row r="19">
      <c r="A19" s="48">
        <v>2.0</v>
      </c>
      <c r="B19" s="26" t="s">
        <v>56</v>
      </c>
      <c r="C19" s="6" t="s">
        <v>10</v>
      </c>
      <c r="D19" s="49" t="s">
        <v>52</v>
      </c>
      <c r="E19" s="9" t="s">
        <v>53</v>
      </c>
      <c r="F19" s="48" t="s">
        <v>54</v>
      </c>
      <c r="G19" s="2"/>
      <c r="H19" s="11"/>
      <c r="J19" s="2"/>
      <c r="K19" s="2"/>
      <c r="L19" s="2"/>
      <c r="M19" s="2"/>
      <c r="N19" s="2"/>
      <c r="O19" s="2"/>
    </row>
    <row r="20">
      <c r="A20" s="48">
        <v>3.0</v>
      </c>
      <c r="B20" s="26" t="s">
        <v>57</v>
      </c>
      <c r="C20" s="6" t="s">
        <v>10</v>
      </c>
      <c r="D20" s="49" t="s">
        <v>52</v>
      </c>
      <c r="E20" s="9" t="s">
        <v>53</v>
      </c>
      <c r="F20" s="48" t="s">
        <v>54</v>
      </c>
      <c r="G20" s="2"/>
      <c r="H20" s="11"/>
      <c r="J20" s="2"/>
      <c r="K20" s="2"/>
      <c r="L20" s="2"/>
      <c r="M20" s="2"/>
      <c r="N20" s="2"/>
      <c r="O20" s="2"/>
    </row>
    <row r="21">
      <c r="A21" s="48">
        <v>4.0</v>
      </c>
      <c r="B21" s="52" t="s">
        <v>58</v>
      </c>
      <c r="C21" s="6" t="s">
        <v>10</v>
      </c>
      <c r="D21" s="49" t="s">
        <v>59</v>
      </c>
      <c r="E21" s="9" t="s">
        <v>53</v>
      </c>
      <c r="F21" s="48" t="s">
        <v>54</v>
      </c>
      <c r="G21" s="2"/>
      <c r="H21" s="11"/>
      <c r="J21" s="2"/>
      <c r="K21" s="2"/>
      <c r="L21" s="2"/>
      <c r="M21" s="2"/>
      <c r="N21" s="2"/>
      <c r="O21" s="2"/>
    </row>
    <row r="22">
      <c r="A22" s="48">
        <v>5.0</v>
      </c>
      <c r="B22" s="26" t="s">
        <v>60</v>
      </c>
      <c r="C22" s="6" t="s">
        <v>10</v>
      </c>
      <c r="D22" s="49" t="s">
        <v>52</v>
      </c>
      <c r="E22" s="9" t="s">
        <v>53</v>
      </c>
      <c r="F22" s="48" t="s">
        <v>54</v>
      </c>
      <c r="G22" s="2"/>
      <c r="H22" s="11"/>
      <c r="I22" s="2"/>
      <c r="J22" s="2"/>
      <c r="K22" s="2"/>
      <c r="L22" s="2"/>
      <c r="M22" s="2"/>
      <c r="N22" s="2"/>
      <c r="O22" s="2"/>
    </row>
    <row r="23">
      <c r="A23" s="48">
        <v>6.0</v>
      </c>
      <c r="B23" s="26" t="s">
        <v>61</v>
      </c>
      <c r="C23" s="6" t="s">
        <v>10</v>
      </c>
      <c r="D23" s="49" t="s">
        <v>52</v>
      </c>
      <c r="E23" s="9" t="s">
        <v>53</v>
      </c>
      <c r="F23" s="48" t="s">
        <v>54</v>
      </c>
      <c r="G23" s="2"/>
      <c r="H23" s="11"/>
      <c r="I23" s="2"/>
      <c r="J23" s="2"/>
      <c r="K23" s="2"/>
      <c r="L23" s="2"/>
      <c r="M23" s="2"/>
      <c r="N23" s="2"/>
      <c r="O23" s="2"/>
    </row>
    <row r="24">
      <c r="A24" s="48">
        <v>7.0</v>
      </c>
      <c r="B24" s="26" t="s">
        <v>62</v>
      </c>
      <c r="C24" s="6" t="s">
        <v>10</v>
      </c>
      <c r="D24" s="49" t="s">
        <v>52</v>
      </c>
      <c r="E24" s="9" t="s">
        <v>53</v>
      </c>
      <c r="F24" s="48" t="s">
        <v>54</v>
      </c>
      <c r="G24" s="2"/>
      <c r="H24" s="11"/>
      <c r="I24" s="2"/>
      <c r="J24" s="2"/>
      <c r="K24" s="2"/>
      <c r="L24" s="2"/>
      <c r="M24" s="2"/>
      <c r="N24" s="2"/>
      <c r="O24" s="2"/>
    </row>
    <row r="25">
      <c r="A25" s="48">
        <v>8.0</v>
      </c>
      <c r="B25" s="26" t="s">
        <v>64</v>
      </c>
      <c r="C25" s="6" t="s">
        <v>10</v>
      </c>
      <c r="D25" s="49" t="s">
        <v>52</v>
      </c>
      <c r="E25" s="9" t="s">
        <v>53</v>
      </c>
      <c r="F25" s="48" t="s">
        <v>54</v>
      </c>
      <c r="G25" s="2"/>
      <c r="H25" s="11"/>
      <c r="I25" s="2"/>
      <c r="J25" s="2"/>
      <c r="K25" s="2"/>
      <c r="L25" s="2"/>
      <c r="M25" s="2"/>
      <c r="N25" s="2"/>
      <c r="O25" s="2"/>
    </row>
    <row r="26">
      <c r="A26" s="48">
        <v>9.0</v>
      </c>
      <c r="B26" s="26" t="s">
        <v>65</v>
      </c>
      <c r="C26" s="6" t="s">
        <v>10</v>
      </c>
      <c r="D26" s="49" t="s">
        <v>52</v>
      </c>
      <c r="E26" s="9" t="s">
        <v>53</v>
      </c>
      <c r="F26" s="48" t="s">
        <v>54</v>
      </c>
      <c r="G26" s="2"/>
      <c r="H26" s="11"/>
      <c r="I26" s="2"/>
      <c r="J26" s="2"/>
      <c r="K26" s="2"/>
      <c r="L26" s="2"/>
      <c r="M26" s="2"/>
      <c r="N26" s="2"/>
      <c r="O26" s="2"/>
    </row>
    <row r="27">
      <c r="A27" s="48">
        <v>10.0</v>
      </c>
      <c r="B27" s="26" t="s">
        <v>66</v>
      </c>
      <c r="C27" s="6" t="s">
        <v>10</v>
      </c>
      <c r="D27" s="49" t="s">
        <v>52</v>
      </c>
      <c r="E27" s="9" t="s">
        <v>53</v>
      </c>
      <c r="F27" s="48" t="s">
        <v>54</v>
      </c>
      <c r="G27" s="2"/>
      <c r="H27" s="11"/>
      <c r="I27" s="2"/>
      <c r="J27" s="2"/>
      <c r="K27" s="2"/>
      <c r="L27" s="2"/>
      <c r="M27" s="2"/>
      <c r="N27" s="2"/>
      <c r="O27" s="2"/>
    </row>
    <row r="28">
      <c r="A28" s="60">
        <v>11.0</v>
      </c>
      <c r="B28" s="61" t="s">
        <v>67</v>
      </c>
      <c r="C28" s="6" t="s">
        <v>10</v>
      </c>
      <c r="D28" s="49" t="s">
        <v>52</v>
      </c>
      <c r="E28" s="8" t="s">
        <v>53</v>
      </c>
      <c r="F28" s="48" t="s">
        <v>54</v>
      </c>
      <c r="G28" s="2"/>
      <c r="H28" s="11"/>
      <c r="I28" s="2"/>
      <c r="J28" s="2"/>
      <c r="K28" s="2"/>
      <c r="L28" s="2"/>
      <c r="M28" s="2"/>
      <c r="N28" s="2"/>
      <c r="O28" s="2"/>
    </row>
    <row r="29">
      <c r="A29" s="60">
        <v>12.0</v>
      </c>
      <c r="B29" s="6" t="s">
        <v>68</v>
      </c>
      <c r="C29" s="62" t="s">
        <v>10</v>
      </c>
      <c r="D29" s="49" t="s">
        <v>52</v>
      </c>
      <c r="E29" s="8" t="s">
        <v>53</v>
      </c>
      <c r="F29" s="48" t="s">
        <v>54</v>
      </c>
      <c r="G29" s="2"/>
      <c r="H29" s="11"/>
      <c r="I29" s="2"/>
      <c r="J29" s="2"/>
      <c r="K29" s="2"/>
      <c r="L29" s="2"/>
      <c r="M29" s="2"/>
      <c r="N29" s="2"/>
      <c r="O29" s="2"/>
    </row>
    <row r="30">
      <c r="A30" s="2"/>
      <c r="B30" s="33"/>
      <c r="C30" s="33"/>
      <c r="D30" s="64"/>
      <c r="E30" s="63"/>
      <c r="F30" s="2"/>
      <c r="G30" s="2"/>
      <c r="H30" s="11"/>
      <c r="I30" s="2"/>
      <c r="J30" s="2"/>
      <c r="K30" s="2"/>
      <c r="L30" s="2"/>
      <c r="M30" s="2"/>
      <c r="N30" s="2"/>
      <c r="O30" s="2"/>
    </row>
    <row r="31">
      <c r="H31" s="11"/>
      <c r="I31" s="2"/>
      <c r="J31" s="2"/>
      <c r="K31" s="2"/>
      <c r="L31" s="2"/>
      <c r="M31" s="2"/>
      <c r="N31" s="2"/>
      <c r="O31" s="2"/>
    </row>
    <row r="32">
      <c r="H32" s="11"/>
      <c r="I32" s="2"/>
      <c r="J32" s="2"/>
      <c r="K32" s="2"/>
      <c r="L32" s="2"/>
      <c r="M32" s="2"/>
      <c r="N32" s="2"/>
      <c r="O32" s="2"/>
    </row>
    <row r="33">
      <c r="H33" s="11"/>
      <c r="I33" s="2"/>
      <c r="J33" s="2"/>
      <c r="K33" s="2"/>
      <c r="L33" s="2"/>
      <c r="M33" s="2"/>
      <c r="N33" s="2"/>
      <c r="O33" s="2"/>
    </row>
    <row r="34">
      <c r="A34" s="45" t="s">
        <v>0</v>
      </c>
      <c r="B34" s="45" t="s">
        <v>1</v>
      </c>
      <c r="C34" s="45" t="s">
        <v>2</v>
      </c>
      <c r="D34" s="45" t="s">
        <v>3</v>
      </c>
      <c r="E34" s="46"/>
      <c r="F34" s="45" t="s">
        <v>5</v>
      </c>
      <c r="H34" s="11"/>
      <c r="I34" s="2"/>
      <c r="J34" s="2"/>
      <c r="K34" s="2"/>
      <c r="L34" s="2"/>
      <c r="M34" s="2"/>
      <c r="N34" s="2"/>
      <c r="O34" s="2"/>
    </row>
    <row r="35">
      <c r="A35" s="48">
        <v>1.0</v>
      </c>
      <c r="B35" s="26" t="s">
        <v>71</v>
      </c>
      <c r="C35" s="26" t="s">
        <v>15</v>
      </c>
      <c r="D35" s="50" t="s">
        <v>72</v>
      </c>
      <c r="E35" s="50" t="s">
        <v>73</v>
      </c>
      <c r="F35" s="71">
        <v>2.0E7</v>
      </c>
      <c r="H35" s="11"/>
      <c r="I35" s="2"/>
      <c r="J35" s="2"/>
      <c r="K35" s="2"/>
      <c r="L35" s="2"/>
      <c r="M35" s="2"/>
      <c r="N35" s="2"/>
      <c r="O35" s="2"/>
    </row>
    <row r="36">
      <c r="A36" s="48">
        <v>2.0</v>
      </c>
      <c r="B36" s="26" t="s">
        <v>75</v>
      </c>
      <c r="C36" s="26" t="s">
        <v>15</v>
      </c>
      <c r="D36" s="50" t="s">
        <v>72</v>
      </c>
      <c r="E36" s="50" t="s">
        <v>73</v>
      </c>
      <c r="F36" s="71">
        <v>2.0E7</v>
      </c>
      <c r="H36" s="11"/>
      <c r="I36" s="2"/>
      <c r="J36" s="2"/>
      <c r="K36" s="2"/>
      <c r="L36" s="2"/>
      <c r="M36" s="2"/>
      <c r="N36" s="2"/>
      <c r="O36" s="2"/>
    </row>
    <row r="37">
      <c r="A37" s="48">
        <v>3.0</v>
      </c>
      <c r="B37" s="26" t="s">
        <v>76</v>
      </c>
      <c r="C37" s="26" t="s">
        <v>15</v>
      </c>
      <c r="D37" s="50" t="s">
        <v>72</v>
      </c>
      <c r="E37" s="50" t="s">
        <v>73</v>
      </c>
      <c r="F37" s="71">
        <v>2.0E7</v>
      </c>
      <c r="G37" s="2"/>
      <c r="H37" s="11"/>
      <c r="I37" s="2"/>
      <c r="J37" s="2"/>
      <c r="K37" s="2"/>
      <c r="L37" s="2"/>
      <c r="M37" s="2"/>
      <c r="N37" s="2"/>
      <c r="O37" s="2"/>
    </row>
    <row r="38">
      <c r="A38" s="48">
        <v>4.0</v>
      </c>
      <c r="B38" s="72" t="s">
        <v>78</v>
      </c>
      <c r="C38" s="26" t="s">
        <v>15</v>
      </c>
      <c r="D38" s="50" t="s">
        <v>72</v>
      </c>
      <c r="E38" s="50" t="s">
        <v>73</v>
      </c>
      <c r="F38" s="71">
        <v>2.0E7</v>
      </c>
      <c r="G38" s="2"/>
      <c r="H38" s="11"/>
      <c r="I38" s="2"/>
      <c r="J38" s="2"/>
      <c r="K38" s="2"/>
      <c r="L38" s="2"/>
      <c r="M38" s="2"/>
      <c r="N38" s="2"/>
      <c r="O38" s="2"/>
    </row>
    <row r="39">
      <c r="B39" s="33"/>
      <c r="C39" s="33"/>
      <c r="G39" s="44"/>
      <c r="H39" s="28"/>
      <c r="I39" s="44"/>
      <c r="J39" s="44"/>
      <c r="K39" s="44"/>
      <c r="L39" s="44"/>
      <c r="M39" s="44"/>
      <c r="N39" s="44"/>
      <c r="O39" s="44"/>
    </row>
    <row r="40">
      <c r="G40" s="74"/>
      <c r="H40" s="11"/>
      <c r="I40" s="74"/>
      <c r="J40" s="74"/>
      <c r="K40" s="74"/>
      <c r="L40" s="74"/>
      <c r="M40" s="74"/>
      <c r="N40" s="74"/>
      <c r="O40" s="2"/>
    </row>
    <row r="41">
      <c r="G41" s="74"/>
      <c r="H41" s="11"/>
      <c r="I41" s="74"/>
      <c r="J41" s="74"/>
      <c r="K41" s="74"/>
      <c r="L41" s="74"/>
      <c r="M41" s="74"/>
      <c r="N41" s="74"/>
      <c r="O41" s="2"/>
    </row>
    <row r="42">
      <c r="A42" s="45" t="s">
        <v>0</v>
      </c>
      <c r="B42" s="45" t="s">
        <v>1</v>
      </c>
      <c r="C42" s="46"/>
      <c r="D42" s="45" t="s">
        <v>3</v>
      </c>
      <c r="E42" s="46"/>
      <c r="F42" s="45" t="s">
        <v>5</v>
      </c>
      <c r="G42" s="75"/>
      <c r="H42" s="11"/>
      <c r="I42" s="74"/>
      <c r="J42" s="74"/>
      <c r="K42" s="74"/>
      <c r="L42" s="74"/>
      <c r="M42" s="74"/>
      <c r="N42" s="74"/>
      <c r="O42" s="2"/>
    </row>
    <row r="43">
      <c r="A43" s="48">
        <v>1.0</v>
      </c>
      <c r="B43" s="26" t="s">
        <v>80</v>
      </c>
      <c r="C43" s="9" t="s">
        <v>10</v>
      </c>
      <c r="D43" s="50" t="s">
        <v>81</v>
      </c>
      <c r="E43" s="50" t="s">
        <v>82</v>
      </c>
      <c r="F43" s="79">
        <v>2.185E7</v>
      </c>
      <c r="G43" s="74"/>
      <c r="H43" s="11"/>
      <c r="I43" s="74"/>
      <c r="J43" s="74"/>
      <c r="K43" s="74"/>
      <c r="L43" s="74"/>
      <c r="M43" s="74"/>
      <c r="N43" s="74"/>
      <c r="O43" s="2"/>
    </row>
    <row r="44">
      <c r="A44" s="2"/>
      <c r="B44" s="33"/>
      <c r="C44" s="33"/>
      <c r="D44" s="2"/>
      <c r="E44" s="2"/>
      <c r="F44" s="2"/>
      <c r="G44" s="2"/>
      <c r="H44" s="11"/>
      <c r="I44" s="2"/>
      <c r="J44" s="2"/>
      <c r="K44" s="2"/>
      <c r="L44" s="2"/>
      <c r="M44" s="2"/>
      <c r="N44" s="2"/>
      <c r="O44" s="2"/>
    </row>
    <row r="45">
      <c r="A45" s="2"/>
      <c r="B45" s="2"/>
      <c r="C45" s="2"/>
      <c r="D45" s="2"/>
      <c r="E45" s="2"/>
      <c r="F45" s="2"/>
      <c r="G45" s="2"/>
      <c r="H45" s="11"/>
      <c r="I45" s="2"/>
      <c r="J45" s="2"/>
      <c r="K45" s="2"/>
      <c r="L45" s="2"/>
      <c r="M45" s="2"/>
      <c r="N45" s="2"/>
      <c r="O45" s="2"/>
    </row>
    <row r="46">
      <c r="A46" s="2"/>
      <c r="B46" s="2"/>
      <c r="C46" s="2"/>
      <c r="D46" s="2"/>
      <c r="E46" s="2"/>
      <c r="F46" s="2"/>
      <c r="G46" s="2"/>
      <c r="H46" s="11"/>
      <c r="I46" s="2"/>
      <c r="J46" s="2"/>
      <c r="K46" s="2"/>
      <c r="L46" s="2"/>
      <c r="M46" s="2"/>
      <c r="N46" s="2"/>
      <c r="O46" s="2"/>
    </row>
    <row r="47">
      <c r="A47" s="45" t="s">
        <v>0</v>
      </c>
      <c r="B47" s="45" t="s">
        <v>1</v>
      </c>
      <c r="C47" s="46"/>
      <c r="D47" s="45" t="s">
        <v>3</v>
      </c>
      <c r="E47" s="46"/>
      <c r="F47" s="45" t="s">
        <v>5</v>
      </c>
      <c r="G47" s="44"/>
      <c r="H47" s="11"/>
      <c r="I47" s="2"/>
      <c r="J47" s="2"/>
      <c r="K47" s="2"/>
      <c r="L47" s="2"/>
      <c r="M47" s="2"/>
      <c r="N47" s="2"/>
      <c r="O47" s="2"/>
    </row>
    <row r="48">
      <c r="A48" s="60">
        <v>1.0</v>
      </c>
      <c r="B48" s="6" t="s">
        <v>87</v>
      </c>
      <c r="C48" s="9" t="s">
        <v>10</v>
      </c>
      <c r="D48" s="50" t="s">
        <v>81</v>
      </c>
      <c r="E48" s="50" t="s">
        <v>88</v>
      </c>
      <c r="F48" s="78">
        <v>4.0E7</v>
      </c>
      <c r="G48" s="28"/>
      <c r="H48" s="11"/>
      <c r="I48" s="2"/>
      <c r="J48" s="2"/>
      <c r="K48" s="2"/>
      <c r="L48" s="2"/>
      <c r="M48" s="2"/>
      <c r="N48" s="2"/>
      <c r="O48" s="2"/>
    </row>
    <row r="49">
      <c r="A49" s="60">
        <v>2.0</v>
      </c>
      <c r="B49" s="6" t="s">
        <v>89</v>
      </c>
      <c r="C49" s="8" t="s">
        <v>10</v>
      </c>
      <c r="D49" s="8" t="s">
        <v>90</v>
      </c>
      <c r="E49" s="8" t="s">
        <v>91</v>
      </c>
      <c r="F49" s="62"/>
      <c r="G49" s="44"/>
      <c r="H49" s="11"/>
      <c r="I49" s="2"/>
      <c r="J49" s="2"/>
      <c r="K49" s="2"/>
      <c r="L49" s="2"/>
      <c r="M49" s="2"/>
      <c r="N49" s="2"/>
      <c r="O49" s="2"/>
    </row>
    <row r="50">
      <c r="A50" s="60">
        <v>3.0</v>
      </c>
      <c r="B50" s="6" t="s">
        <v>92</v>
      </c>
      <c r="C50" s="8" t="s">
        <v>10</v>
      </c>
      <c r="D50" s="8" t="s">
        <v>90</v>
      </c>
      <c r="E50" s="8" t="s">
        <v>91</v>
      </c>
      <c r="F50" s="62"/>
      <c r="G50" s="81"/>
      <c r="H50" s="11"/>
      <c r="I50" s="74"/>
      <c r="J50" s="74"/>
      <c r="K50" s="74"/>
      <c r="L50" s="74"/>
      <c r="M50" s="74"/>
      <c r="N50" s="74"/>
      <c r="O50" s="2"/>
    </row>
    <row r="51">
      <c r="A51" s="60">
        <v>4.0</v>
      </c>
      <c r="B51" s="6" t="s">
        <v>94</v>
      </c>
      <c r="C51" s="8" t="s">
        <v>10</v>
      </c>
      <c r="D51" s="8" t="s">
        <v>90</v>
      </c>
      <c r="E51" s="8" t="s">
        <v>91</v>
      </c>
      <c r="F51" s="62"/>
      <c r="G51" s="44"/>
      <c r="H51" s="11"/>
      <c r="I51" s="74"/>
      <c r="J51" s="74"/>
      <c r="K51" s="74"/>
      <c r="L51" s="74"/>
      <c r="M51" s="74"/>
      <c r="N51" s="74"/>
      <c r="O51" s="2"/>
    </row>
    <row r="52">
      <c r="A52" s="60">
        <v>5.0</v>
      </c>
      <c r="B52" s="6" t="s">
        <v>95</v>
      </c>
      <c r="C52" s="8" t="s">
        <v>10</v>
      </c>
      <c r="D52" s="8" t="s">
        <v>25</v>
      </c>
      <c r="E52" s="8" t="s">
        <v>96</v>
      </c>
      <c r="F52" s="82"/>
      <c r="G52" s="44"/>
      <c r="H52" s="11"/>
      <c r="I52" s="2"/>
      <c r="J52" s="2"/>
      <c r="K52" s="2"/>
      <c r="L52" s="2"/>
      <c r="M52" s="2"/>
      <c r="N52" s="2"/>
      <c r="O52" s="2"/>
    </row>
    <row r="53">
      <c r="A53" s="48">
        <v>6.0</v>
      </c>
      <c r="B53" s="72" t="s">
        <v>97</v>
      </c>
      <c r="C53" s="50" t="s">
        <v>10</v>
      </c>
      <c r="D53" s="8" t="s">
        <v>90</v>
      </c>
      <c r="E53" s="8" t="s">
        <v>91</v>
      </c>
      <c r="F53" s="50"/>
      <c r="G53" s="81"/>
      <c r="H53" s="11"/>
      <c r="I53" s="2"/>
      <c r="J53" s="2"/>
      <c r="K53" s="2"/>
      <c r="L53" s="2"/>
      <c r="M53" s="2"/>
      <c r="N53" s="2"/>
      <c r="O53" s="2"/>
    </row>
    <row r="54">
      <c r="A54" s="48">
        <v>7.0</v>
      </c>
      <c r="B54" s="72" t="s">
        <v>98</v>
      </c>
      <c r="C54" s="50" t="s">
        <v>10</v>
      </c>
      <c r="D54" s="8" t="s">
        <v>90</v>
      </c>
      <c r="E54" s="8" t="s">
        <v>91</v>
      </c>
      <c r="F54" s="50"/>
      <c r="G54" s="81"/>
      <c r="H54" s="11"/>
      <c r="I54" s="2"/>
      <c r="J54" s="2"/>
      <c r="K54" s="2"/>
      <c r="L54" s="2"/>
      <c r="M54" s="2"/>
      <c r="N54" s="2"/>
      <c r="O54" s="2"/>
    </row>
    <row r="55">
      <c r="A55" s="57">
        <v>8.0</v>
      </c>
      <c r="B55" s="23" t="s">
        <v>100</v>
      </c>
      <c r="C55" s="50" t="s">
        <v>10</v>
      </c>
      <c r="D55" s="50"/>
      <c r="E55" s="57" t="s">
        <v>101</v>
      </c>
      <c r="F55" s="50"/>
      <c r="G55" s="2"/>
      <c r="H55" s="11"/>
      <c r="I55" s="2"/>
      <c r="J55" s="2"/>
      <c r="K55" s="2"/>
      <c r="L55" s="2"/>
      <c r="M55" s="2"/>
      <c r="N55" s="2"/>
      <c r="O55" s="2"/>
    </row>
    <row r="56">
      <c r="G56" s="44"/>
      <c r="H56" s="11"/>
      <c r="I56" s="2"/>
      <c r="J56" s="2"/>
      <c r="K56" s="2"/>
      <c r="L56" s="2"/>
      <c r="M56" s="2"/>
      <c r="N56" s="2"/>
      <c r="O56" s="2"/>
    </row>
    <row r="57">
      <c r="G57" s="85"/>
      <c r="H57" s="11"/>
      <c r="I57" s="85"/>
      <c r="J57" s="85"/>
      <c r="K57" s="85"/>
      <c r="L57" s="85"/>
      <c r="M57" s="85"/>
      <c r="N57" s="85"/>
      <c r="O57" s="2"/>
    </row>
    <row r="58">
      <c r="A58" s="2"/>
      <c r="B58" s="2"/>
      <c r="C58" s="2"/>
      <c r="D58" s="2"/>
      <c r="E58" s="2"/>
      <c r="F58" s="2"/>
      <c r="G58" s="2"/>
      <c r="H58" s="11"/>
      <c r="I58" s="2"/>
      <c r="J58" s="2"/>
      <c r="K58" s="2"/>
      <c r="L58" s="2"/>
      <c r="M58" s="2"/>
      <c r="N58" s="2"/>
      <c r="O58" s="2"/>
    </row>
    <row r="59">
      <c r="A59" s="2"/>
      <c r="B59" s="2"/>
      <c r="C59" s="2"/>
      <c r="D59" s="2"/>
      <c r="E59" s="2"/>
      <c r="F59" s="2"/>
      <c r="G59" s="2"/>
      <c r="H59" s="11"/>
      <c r="I59" s="2"/>
      <c r="J59" s="2"/>
      <c r="K59" s="2"/>
      <c r="L59" s="2"/>
      <c r="M59" s="2"/>
      <c r="N59" s="2"/>
      <c r="O59" s="2"/>
    </row>
    <row r="60">
      <c r="A60" s="45" t="s">
        <v>0</v>
      </c>
      <c r="B60" s="45" t="s">
        <v>1</v>
      </c>
      <c r="C60" s="46"/>
      <c r="D60" s="45" t="s">
        <v>3</v>
      </c>
      <c r="E60" s="46"/>
      <c r="F60" s="45" t="s">
        <v>5</v>
      </c>
      <c r="H60" s="11"/>
      <c r="I60" s="2"/>
      <c r="J60" s="2"/>
      <c r="K60" s="2"/>
      <c r="L60" s="2"/>
      <c r="M60" s="2"/>
      <c r="N60" s="2"/>
      <c r="O60" s="2"/>
    </row>
    <row r="61">
      <c r="A61" s="60">
        <v>1.0</v>
      </c>
      <c r="B61" s="6" t="s">
        <v>83</v>
      </c>
      <c r="C61" s="9" t="s">
        <v>10</v>
      </c>
      <c r="D61" s="50" t="s">
        <v>81</v>
      </c>
      <c r="E61" s="50" t="s">
        <v>84</v>
      </c>
      <c r="F61" s="37"/>
      <c r="H61" s="11"/>
      <c r="I61" s="11"/>
      <c r="J61" s="11"/>
      <c r="K61" s="11"/>
      <c r="L61" s="11"/>
      <c r="M61" s="11"/>
      <c r="N61" s="11"/>
      <c r="O61" s="2"/>
    </row>
    <row r="62">
      <c r="A62" s="60">
        <v>2.0</v>
      </c>
      <c r="B62" s="6" t="s">
        <v>85</v>
      </c>
      <c r="C62" s="8" t="s">
        <v>10</v>
      </c>
      <c r="D62" s="50" t="s">
        <v>81</v>
      </c>
      <c r="E62" s="50" t="s">
        <v>84</v>
      </c>
      <c r="F62" s="62"/>
      <c r="H62" s="2"/>
      <c r="I62" s="2"/>
      <c r="J62" s="2"/>
      <c r="K62" s="2"/>
      <c r="L62" s="2"/>
      <c r="M62" s="2"/>
      <c r="N62" s="2"/>
      <c r="O62" s="2"/>
    </row>
    <row r="63">
      <c r="H63" s="2"/>
      <c r="I63" s="2"/>
      <c r="J63" s="2"/>
      <c r="K63" s="2"/>
      <c r="L63" s="2"/>
      <c r="M63" s="2"/>
      <c r="N63" s="2"/>
      <c r="O63" s="2"/>
    </row>
    <row r="64">
      <c r="H64" s="2"/>
      <c r="I64" s="2"/>
      <c r="J64" s="2"/>
      <c r="K64" s="2"/>
      <c r="L64" s="2"/>
      <c r="M64" s="2"/>
      <c r="N64" s="2"/>
      <c r="O64" s="2"/>
    </row>
    <row r="65">
      <c r="H65" s="2"/>
      <c r="I65" s="2"/>
      <c r="J65" s="2"/>
      <c r="K65" s="2"/>
      <c r="L65" s="2"/>
      <c r="M65" s="2"/>
      <c r="N65" s="2"/>
      <c r="O65" s="2"/>
    </row>
    <row r="66">
      <c r="A66" s="45" t="s">
        <v>0</v>
      </c>
      <c r="B66" s="45" t="s">
        <v>1</v>
      </c>
      <c r="C66" s="46"/>
      <c r="D66" s="45" t="s">
        <v>3</v>
      </c>
      <c r="E66" s="46"/>
      <c r="F66" s="45" t="s">
        <v>5</v>
      </c>
      <c r="H66" s="2"/>
      <c r="I66" s="2"/>
      <c r="J66" s="2"/>
      <c r="K66" s="2"/>
      <c r="L66" s="2"/>
      <c r="M66" s="2"/>
      <c r="N66" s="2"/>
      <c r="O66" s="2"/>
    </row>
    <row r="67">
      <c r="A67" s="60">
        <v>1.0</v>
      </c>
      <c r="B67" s="6" t="s">
        <v>107</v>
      </c>
      <c r="C67" s="9" t="s">
        <v>10</v>
      </c>
      <c r="D67" s="57" t="s">
        <v>114</v>
      </c>
      <c r="E67" s="57" t="s">
        <v>23</v>
      </c>
      <c r="F67" s="37"/>
      <c r="H67" s="2"/>
      <c r="I67" s="2"/>
      <c r="J67" s="2"/>
      <c r="K67" s="2"/>
      <c r="L67" s="2"/>
      <c r="M67" s="2"/>
      <c r="N67" s="2"/>
      <c r="O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>
      <c r="G69" s="2"/>
      <c r="H69" s="2"/>
      <c r="I69" s="2"/>
      <c r="J69" s="2"/>
      <c r="K69" s="2"/>
      <c r="L69" s="2"/>
      <c r="M69" s="2"/>
      <c r="N69" s="2"/>
      <c r="O69" s="2"/>
    </row>
    <row r="70">
      <c r="A70" s="45" t="s">
        <v>0</v>
      </c>
      <c r="B70" s="45" t="s">
        <v>1</v>
      </c>
      <c r="C70" s="46"/>
      <c r="D70" s="45" t="s">
        <v>3</v>
      </c>
      <c r="E70" s="46"/>
      <c r="F70" s="45" t="s">
        <v>5</v>
      </c>
      <c r="G70" s="2"/>
      <c r="H70" s="2"/>
      <c r="I70" s="2"/>
      <c r="J70" s="2"/>
      <c r="K70" s="2"/>
      <c r="L70" s="2"/>
      <c r="M70" s="2"/>
      <c r="N70" s="2"/>
      <c r="O70" s="2"/>
    </row>
    <row r="71">
      <c r="A71" s="60">
        <v>1.0</v>
      </c>
      <c r="B71" s="6" t="s">
        <v>110</v>
      </c>
      <c r="C71" s="9" t="s">
        <v>10</v>
      </c>
      <c r="D71" s="50" t="s">
        <v>111</v>
      </c>
      <c r="E71" s="50" t="s">
        <v>20</v>
      </c>
      <c r="F71" s="37"/>
      <c r="G71" s="2"/>
      <c r="H71" s="2"/>
      <c r="I71" s="2"/>
      <c r="J71" s="2"/>
      <c r="K71" s="2"/>
      <c r="L71" s="2"/>
      <c r="M71" s="2"/>
      <c r="N71" s="2"/>
      <c r="O71" s="2"/>
    </row>
    <row r="72">
      <c r="A72" s="60">
        <v>2.0</v>
      </c>
      <c r="B72" s="61" t="s">
        <v>112</v>
      </c>
      <c r="C72" s="8" t="s">
        <v>10</v>
      </c>
      <c r="D72" s="50" t="s">
        <v>111</v>
      </c>
      <c r="E72" s="50" t="s">
        <v>20</v>
      </c>
      <c r="F72" s="62"/>
      <c r="G72" s="2"/>
      <c r="H72" s="2"/>
      <c r="I72" s="2"/>
      <c r="J72" s="2"/>
      <c r="K72" s="2"/>
      <c r="L72" s="2"/>
      <c r="M72" s="2"/>
      <c r="N72" s="2"/>
      <c r="O72" s="2"/>
    </row>
    <row r="73">
      <c r="A73" s="48">
        <v>3.0</v>
      </c>
      <c r="B73" s="90" t="s">
        <v>116</v>
      </c>
      <c r="C73" s="9" t="s">
        <v>10</v>
      </c>
      <c r="D73" s="50" t="s">
        <v>117</v>
      </c>
      <c r="E73" s="50" t="s">
        <v>20</v>
      </c>
      <c r="F73" s="50"/>
      <c r="G73" s="2"/>
      <c r="H73" s="2"/>
      <c r="I73" s="2"/>
      <c r="J73" s="2"/>
      <c r="K73" s="2"/>
      <c r="L73" s="2"/>
      <c r="M73" s="2"/>
      <c r="N73" s="2"/>
      <c r="O73" s="2"/>
    </row>
    <row r="74">
      <c r="A74" s="60">
        <v>4.0</v>
      </c>
      <c r="B74" s="92" t="s">
        <v>119</v>
      </c>
      <c r="C74" s="8" t="s">
        <v>10</v>
      </c>
      <c r="D74" s="50" t="s">
        <v>117</v>
      </c>
      <c r="E74" s="50" t="s">
        <v>20</v>
      </c>
      <c r="F74" s="50"/>
      <c r="G74" s="2"/>
      <c r="H74" s="2"/>
      <c r="I74" s="2"/>
      <c r="J74" s="2"/>
      <c r="K74" s="2"/>
      <c r="L74" s="2"/>
      <c r="M74" s="2"/>
      <c r="N74" s="2"/>
      <c r="O74" s="2"/>
    </row>
    <row r="75">
      <c r="A75" s="48">
        <v>5.0</v>
      </c>
      <c r="B75" s="72" t="s">
        <v>120</v>
      </c>
      <c r="C75" s="9" t="s">
        <v>10</v>
      </c>
      <c r="D75" s="50" t="s">
        <v>117</v>
      </c>
      <c r="E75" s="50" t="s">
        <v>20</v>
      </c>
      <c r="F75" s="50"/>
      <c r="G75" s="2"/>
      <c r="H75" s="2"/>
      <c r="I75" s="2"/>
      <c r="J75" s="2"/>
      <c r="K75" s="2"/>
      <c r="L75" s="2"/>
      <c r="M75" s="2"/>
      <c r="N75" s="2"/>
      <c r="O75" s="2"/>
    </row>
    <row r="76">
      <c r="A76" s="60">
        <v>6.0</v>
      </c>
      <c r="B76" s="72" t="s">
        <v>121</v>
      </c>
      <c r="C76" s="8" t="s">
        <v>10</v>
      </c>
      <c r="D76" s="50" t="s">
        <v>117</v>
      </c>
      <c r="E76" s="50" t="s">
        <v>20</v>
      </c>
      <c r="F76" s="50"/>
      <c r="G76" s="2"/>
      <c r="H76" s="2"/>
      <c r="I76" s="2"/>
      <c r="J76" s="2"/>
      <c r="K76" s="2"/>
      <c r="L76" s="2"/>
      <c r="M76" s="2"/>
      <c r="N76" s="2"/>
      <c r="O76" s="2"/>
    </row>
    <row r="77">
      <c r="A77" s="48">
        <v>7.0</v>
      </c>
      <c r="B77" s="90" t="s">
        <v>122</v>
      </c>
      <c r="C77" s="9" t="s">
        <v>10</v>
      </c>
      <c r="D77" s="50" t="s">
        <v>111</v>
      </c>
      <c r="E77" s="50" t="s">
        <v>20</v>
      </c>
      <c r="F77" s="50"/>
      <c r="G77" s="2"/>
      <c r="H77" s="2"/>
      <c r="I77" s="2"/>
      <c r="J77" s="2"/>
      <c r="K77" s="2"/>
      <c r="L77" s="2"/>
      <c r="M77" s="2"/>
      <c r="N77" s="2"/>
      <c r="O77" s="2"/>
    </row>
    <row r="78">
      <c r="A78" s="50"/>
      <c r="B78" s="50"/>
      <c r="C78" s="50"/>
      <c r="D78" s="50"/>
      <c r="E78" s="50"/>
      <c r="F78" s="50"/>
      <c r="G78" s="2"/>
      <c r="H78" s="2"/>
      <c r="I78" s="2"/>
      <c r="J78" s="2"/>
      <c r="K78" s="2"/>
      <c r="L78" s="2"/>
      <c r="M78" s="2"/>
      <c r="N78" s="2"/>
      <c r="O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>
      <c r="A80" s="44"/>
      <c r="B80" s="44"/>
      <c r="C80" s="44"/>
      <c r="D80" s="44"/>
      <c r="E80" s="44"/>
      <c r="F80" s="44"/>
      <c r="G80" s="2"/>
      <c r="H80" s="2"/>
      <c r="I80" s="2"/>
      <c r="J80" s="2"/>
      <c r="K80" s="2"/>
      <c r="L80" s="2"/>
      <c r="M80" s="2"/>
      <c r="N80" s="2"/>
      <c r="O80" s="2"/>
    </row>
    <row r="81">
      <c r="A81" s="44"/>
      <c r="B81" s="44"/>
      <c r="C81" s="44"/>
      <c r="D81" s="44"/>
      <c r="E81" s="44"/>
      <c r="F81" s="44"/>
      <c r="G81" s="2"/>
      <c r="H81" s="2"/>
      <c r="I81" s="2"/>
      <c r="J81" s="2"/>
      <c r="K81" s="2"/>
      <c r="L81" s="2"/>
      <c r="M81" s="2"/>
      <c r="N81" s="2"/>
      <c r="O81" s="2"/>
    </row>
    <row r="82">
      <c r="A82" s="45" t="s">
        <v>0</v>
      </c>
      <c r="B82" s="45" t="s">
        <v>1</v>
      </c>
      <c r="C82" s="46"/>
      <c r="D82" s="45" t="s">
        <v>3</v>
      </c>
      <c r="E82" s="46"/>
      <c r="F82" s="45" t="s">
        <v>5</v>
      </c>
      <c r="G82" s="2"/>
      <c r="H82" s="2"/>
      <c r="I82" s="2"/>
      <c r="J82" s="2"/>
      <c r="K82" s="2"/>
      <c r="L82" s="2"/>
      <c r="M82" s="2"/>
      <c r="N82" s="2"/>
      <c r="O82" s="2"/>
    </row>
    <row r="83">
      <c r="A83" s="60">
        <v>1.0</v>
      </c>
      <c r="B83" s="97" t="s">
        <v>125</v>
      </c>
      <c r="C83" s="9" t="s">
        <v>10</v>
      </c>
      <c r="D83" s="57" t="s">
        <v>126</v>
      </c>
      <c r="E83" s="57" t="s">
        <v>27</v>
      </c>
      <c r="F83" s="98"/>
      <c r="G83" s="2"/>
      <c r="H83" s="2"/>
      <c r="I83" s="2"/>
      <c r="J83" s="2"/>
      <c r="K83" s="2"/>
      <c r="L83" s="2"/>
      <c r="M83" s="2"/>
      <c r="N83" s="2"/>
      <c r="O83" s="2"/>
    </row>
    <row r="84">
      <c r="A84" s="77">
        <v>2.0</v>
      </c>
      <c r="B84" s="100" t="s">
        <v>128</v>
      </c>
      <c r="C84" s="9" t="s">
        <v>10</v>
      </c>
      <c r="D84" s="57" t="s">
        <v>126</v>
      </c>
      <c r="E84" s="57" t="s">
        <v>27</v>
      </c>
      <c r="F84" s="62"/>
      <c r="G84" s="2"/>
      <c r="H84" s="2"/>
      <c r="I84" s="2"/>
      <c r="J84" s="2"/>
      <c r="K84" s="2"/>
      <c r="L84" s="2"/>
      <c r="M84" s="2"/>
      <c r="N84" s="2"/>
      <c r="O84" s="2"/>
    </row>
    <row r="85">
      <c r="A85" s="102">
        <v>3.0</v>
      </c>
      <c r="B85" s="97" t="s">
        <v>129</v>
      </c>
      <c r="C85" s="9" t="s">
        <v>10</v>
      </c>
      <c r="D85" s="102" t="s">
        <v>131</v>
      </c>
      <c r="E85" s="57" t="s">
        <v>27</v>
      </c>
      <c r="F85" s="73"/>
      <c r="G85" s="2"/>
      <c r="H85" s="2"/>
      <c r="I85" s="2"/>
      <c r="J85" s="2"/>
      <c r="K85" s="2"/>
      <c r="L85" s="2"/>
      <c r="M85" s="2"/>
      <c r="N85" s="2"/>
      <c r="O85" s="2"/>
    </row>
    <row r="86">
      <c r="A86" s="102">
        <v>4.0</v>
      </c>
      <c r="B86" s="97" t="s">
        <v>138</v>
      </c>
      <c r="C86" s="103" t="s">
        <v>10</v>
      </c>
      <c r="D86" s="102" t="s">
        <v>131</v>
      </c>
      <c r="E86" s="57" t="s">
        <v>27</v>
      </c>
      <c r="F86" s="73"/>
      <c r="G86" s="33" t="s">
        <v>139</v>
      </c>
      <c r="H86" s="2"/>
      <c r="I86" s="2"/>
      <c r="J86" s="2"/>
      <c r="K86" s="2"/>
      <c r="L86" s="2"/>
      <c r="M86" s="2"/>
      <c r="N86" s="2"/>
      <c r="O86" s="2"/>
    </row>
    <row r="87">
      <c r="A87" s="102">
        <v>5.0</v>
      </c>
      <c r="B87" s="100" t="s">
        <v>135</v>
      </c>
      <c r="C87" s="9" t="s">
        <v>10</v>
      </c>
      <c r="D87" s="102" t="s">
        <v>131</v>
      </c>
      <c r="E87" s="57" t="s">
        <v>27</v>
      </c>
      <c r="F87" s="73"/>
      <c r="G87" s="2"/>
      <c r="H87" s="2"/>
      <c r="I87" s="2"/>
      <c r="J87" s="2"/>
      <c r="K87" s="2"/>
      <c r="L87" s="2"/>
      <c r="M87" s="2"/>
      <c r="N87" s="2"/>
      <c r="O87" s="2"/>
    </row>
    <row r="88">
      <c r="A88" s="102">
        <v>6.0</v>
      </c>
      <c r="B88" s="100" t="s">
        <v>136</v>
      </c>
      <c r="C88" s="9" t="s">
        <v>10</v>
      </c>
      <c r="D88" s="102" t="s">
        <v>137</v>
      </c>
      <c r="E88" s="57" t="s">
        <v>27</v>
      </c>
      <c r="F88" s="73"/>
      <c r="G88" s="2"/>
      <c r="H88" s="2"/>
      <c r="I88" s="2"/>
      <c r="J88" s="2"/>
      <c r="K88" s="2"/>
      <c r="L88" s="2"/>
      <c r="M88" s="2"/>
      <c r="N88" s="2"/>
      <c r="O88" s="2"/>
    </row>
    <row r="89">
      <c r="A89" s="2"/>
      <c r="B89" s="4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>
      <c r="A90" s="2"/>
      <c r="B90" s="4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>
      <c r="A91" s="2"/>
      <c r="B91" s="4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>
      <c r="A92" s="45" t="s">
        <v>0</v>
      </c>
      <c r="B92" s="45" t="s">
        <v>1</v>
      </c>
      <c r="C92" s="46"/>
      <c r="D92" s="45" t="s">
        <v>3</v>
      </c>
      <c r="E92" s="46"/>
      <c r="F92" s="45" t="s">
        <v>5</v>
      </c>
      <c r="G92" s="2"/>
      <c r="H92" s="2"/>
      <c r="I92" s="2"/>
      <c r="J92" s="2"/>
      <c r="K92" s="2"/>
      <c r="L92" s="2"/>
      <c r="M92" s="2"/>
      <c r="N92" s="2"/>
      <c r="O92" s="2"/>
    </row>
    <row r="93">
      <c r="A93" s="60">
        <v>1.0</v>
      </c>
      <c r="B93" s="97" t="s">
        <v>141</v>
      </c>
      <c r="C93" s="9" t="s">
        <v>10</v>
      </c>
      <c r="D93" s="57" t="s">
        <v>142</v>
      </c>
      <c r="E93" s="57" t="s">
        <v>29</v>
      </c>
      <c r="F93" s="98">
        <v>1.87E7</v>
      </c>
      <c r="G93" s="33" t="s">
        <v>143</v>
      </c>
      <c r="H93" s="2"/>
      <c r="I93" s="2"/>
      <c r="J93" s="2"/>
      <c r="K93" s="2"/>
      <c r="L93" s="2"/>
      <c r="M93" s="2"/>
      <c r="N93" s="2"/>
      <c r="O93" s="2"/>
    </row>
    <row r="94">
      <c r="A94" s="60"/>
      <c r="B94" s="6"/>
      <c r="C94" s="8"/>
      <c r="D94" s="50"/>
      <c r="E94" s="50"/>
      <c r="F94" s="62"/>
      <c r="G94" s="101"/>
      <c r="H94" s="2"/>
      <c r="I94" s="2"/>
      <c r="J94" s="2"/>
      <c r="K94" s="2"/>
      <c r="L94" s="2"/>
      <c r="M94" s="2"/>
      <c r="N94" s="2"/>
      <c r="O94" s="2"/>
    </row>
    <row r="95">
      <c r="G95" s="101"/>
      <c r="H95" s="2"/>
      <c r="I95" s="2"/>
      <c r="J95" s="2"/>
      <c r="K95" s="2"/>
      <c r="L95" s="2"/>
      <c r="M95" s="2"/>
      <c r="N95" s="2"/>
      <c r="O95" s="2"/>
    </row>
    <row r="96">
      <c r="G96" s="2"/>
      <c r="H96" s="2"/>
      <c r="I96" s="2"/>
      <c r="J96" s="2"/>
      <c r="K96" s="2"/>
      <c r="L96" s="2"/>
      <c r="M96" s="2"/>
      <c r="N96" s="2"/>
      <c r="O96" s="2"/>
    </row>
    <row r="97">
      <c r="A97" s="45" t="s">
        <v>0</v>
      </c>
      <c r="B97" s="45" t="s">
        <v>1</v>
      </c>
      <c r="C97" s="46"/>
      <c r="D97" s="45" t="s">
        <v>3</v>
      </c>
      <c r="E97" s="46"/>
      <c r="F97" s="45" t="s">
        <v>5</v>
      </c>
      <c r="G97" s="2"/>
      <c r="H97" s="2"/>
      <c r="I97" s="2"/>
      <c r="J97" s="2"/>
      <c r="K97" s="2"/>
      <c r="L97" s="2"/>
      <c r="M97" s="2"/>
      <c r="N97" s="2"/>
      <c r="O97" s="2"/>
    </row>
    <row r="98">
      <c r="A98" s="60">
        <v>1.0</v>
      </c>
      <c r="B98" s="66" t="s">
        <v>145</v>
      </c>
      <c r="C98" s="9" t="s">
        <v>10</v>
      </c>
      <c r="D98" s="57" t="s">
        <v>142</v>
      </c>
      <c r="E98" s="57" t="s">
        <v>29</v>
      </c>
      <c r="F98" s="98">
        <v>1.87E7</v>
      </c>
      <c r="G98" s="33" t="s">
        <v>148</v>
      </c>
      <c r="H98" s="2"/>
      <c r="I98" s="2"/>
      <c r="J98" s="2"/>
      <c r="K98" s="2"/>
      <c r="L98" s="2"/>
      <c r="M98" s="2"/>
      <c r="N98" s="2"/>
      <c r="O98" s="2"/>
    </row>
    <row r="99">
      <c r="A99" s="60"/>
      <c r="B99" s="6"/>
      <c r="C99" s="8"/>
      <c r="D99" s="50"/>
      <c r="E99" s="50"/>
      <c r="F99" s="62"/>
      <c r="G99" s="2"/>
      <c r="H99" s="2"/>
      <c r="I99" s="2"/>
      <c r="J99" s="2"/>
      <c r="K99" s="2"/>
      <c r="L99" s="2"/>
      <c r="M99" s="2"/>
      <c r="N99" s="2"/>
      <c r="O99" s="2"/>
    </row>
    <row r="100">
      <c r="G100" s="2"/>
      <c r="H100" s="2"/>
      <c r="I100" s="2"/>
      <c r="J100" s="2"/>
      <c r="K100" s="2"/>
      <c r="L100" s="2"/>
      <c r="M100" s="2"/>
      <c r="N100" s="2"/>
      <c r="O100" s="2"/>
    </row>
    <row r="101">
      <c r="G101" s="2"/>
      <c r="H101" s="2"/>
      <c r="I101" s="2"/>
      <c r="J101" s="2"/>
      <c r="K101" s="2"/>
      <c r="L101" s="2"/>
      <c r="M101" s="2"/>
      <c r="N101" s="2"/>
      <c r="O101" s="2"/>
    </row>
    <row r="102">
      <c r="A102" s="2"/>
      <c r="B102" s="59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>
      <c r="A103" s="2"/>
      <c r="B103" s="59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2.75"/>
    <col customWidth="1" min="3" max="3" width="8.5"/>
    <col customWidth="1" min="4" max="4" width="19.88"/>
    <col customWidth="1" min="5" max="5" width="29.13"/>
    <col customWidth="1" hidden="1" min="6" max="6" width="17.38"/>
    <col customWidth="1" min="7" max="7" width="20.88"/>
    <col customWidth="1" min="9" max="9" width="31.88"/>
    <col customWidth="1" min="10" max="10" width="1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9</v>
      </c>
      <c r="H1" s="2"/>
      <c r="I1" s="3" t="s">
        <v>6</v>
      </c>
      <c r="J1" s="3" t="s">
        <v>7</v>
      </c>
      <c r="K1" s="2"/>
      <c r="L1" s="4"/>
      <c r="M1" s="4"/>
      <c r="N1" s="4"/>
      <c r="O1" s="2"/>
    </row>
    <row r="2">
      <c r="A2" s="5">
        <v>1.0</v>
      </c>
      <c r="B2" s="13" t="s">
        <v>14</v>
      </c>
      <c r="C2" s="8" t="s">
        <v>15</v>
      </c>
      <c r="D2" s="16" t="s">
        <v>16</v>
      </c>
      <c r="E2" s="9" t="s">
        <v>12</v>
      </c>
      <c r="F2" s="10">
        <v>2.94E7</v>
      </c>
      <c r="G2" s="17">
        <v>46113.0</v>
      </c>
      <c r="H2" s="11"/>
      <c r="I2" s="12" t="s">
        <v>13</v>
      </c>
      <c r="J2" s="14">
        <v>4.0</v>
      </c>
      <c r="K2" s="11"/>
      <c r="L2" s="11"/>
      <c r="M2" s="15"/>
      <c r="N2" s="11"/>
      <c r="O2" s="2"/>
    </row>
    <row r="3">
      <c r="A3" s="5">
        <v>2.0</v>
      </c>
      <c r="B3" s="13" t="s">
        <v>18</v>
      </c>
      <c r="C3" s="8" t="s">
        <v>15</v>
      </c>
      <c r="D3" s="9" t="s">
        <v>19</v>
      </c>
      <c r="E3" s="9" t="s">
        <v>12</v>
      </c>
      <c r="F3" s="10">
        <v>2.1E7</v>
      </c>
      <c r="G3" s="17">
        <v>46113.0</v>
      </c>
      <c r="H3" s="11"/>
      <c r="I3" s="12" t="s">
        <v>17</v>
      </c>
      <c r="J3" s="14">
        <v>8.0</v>
      </c>
      <c r="K3" s="11"/>
      <c r="L3" s="11"/>
      <c r="M3" s="11"/>
      <c r="N3" s="11"/>
      <c r="O3" s="2"/>
    </row>
    <row r="4">
      <c r="A4" s="5">
        <v>3.0</v>
      </c>
      <c r="B4" s="21" t="s">
        <v>22</v>
      </c>
      <c r="C4" s="8" t="s">
        <v>10</v>
      </c>
      <c r="D4" s="20" t="s">
        <v>19</v>
      </c>
      <c r="E4" s="20" t="s">
        <v>12</v>
      </c>
      <c r="F4" s="10">
        <v>2.1E7</v>
      </c>
      <c r="G4" s="17">
        <v>46113.0</v>
      </c>
      <c r="H4" s="11"/>
      <c r="I4" s="12" t="s">
        <v>20</v>
      </c>
      <c r="J4" s="14">
        <v>7.0</v>
      </c>
      <c r="K4" s="11"/>
      <c r="L4" s="11"/>
      <c r="M4" s="11"/>
      <c r="N4" s="11"/>
      <c r="O4" s="2"/>
    </row>
    <row r="5">
      <c r="A5" s="5">
        <v>4.0</v>
      </c>
      <c r="B5" s="24" t="s">
        <v>24</v>
      </c>
      <c r="C5" s="8" t="s">
        <v>10</v>
      </c>
      <c r="D5" s="9" t="s">
        <v>25</v>
      </c>
      <c r="E5" s="9" t="s">
        <v>12</v>
      </c>
      <c r="F5" s="10">
        <v>2.2E7</v>
      </c>
      <c r="G5" s="25" t="s">
        <v>36</v>
      </c>
      <c r="H5" s="11"/>
      <c r="I5" s="12" t="s">
        <v>23</v>
      </c>
      <c r="J5" s="14">
        <v>1.0</v>
      </c>
      <c r="K5" s="11"/>
      <c r="L5" s="11"/>
      <c r="M5" s="11"/>
      <c r="N5" s="11"/>
      <c r="O5" s="2"/>
    </row>
    <row r="6">
      <c r="A6" s="5">
        <v>5.0</v>
      </c>
      <c r="B6" s="13" t="s">
        <v>28</v>
      </c>
      <c r="C6" s="8" t="s">
        <v>10</v>
      </c>
      <c r="D6" s="9" t="s">
        <v>19</v>
      </c>
      <c r="E6" s="9" t="s">
        <v>12</v>
      </c>
      <c r="F6" s="10">
        <v>2.1E7</v>
      </c>
      <c r="G6" s="17">
        <v>46113.0</v>
      </c>
      <c r="H6" s="11"/>
      <c r="I6" s="22" t="s">
        <v>27</v>
      </c>
      <c r="J6" s="14">
        <v>6.0</v>
      </c>
      <c r="K6" s="11"/>
      <c r="L6" s="11"/>
      <c r="M6" s="11"/>
      <c r="N6" s="11"/>
      <c r="O6" s="2"/>
    </row>
    <row r="7">
      <c r="A7" s="5">
        <v>6.0</v>
      </c>
      <c r="B7" s="6" t="s">
        <v>31</v>
      </c>
      <c r="C7" s="8" t="s">
        <v>15</v>
      </c>
      <c r="D7" s="9" t="s">
        <v>32</v>
      </c>
      <c r="E7" s="8" t="s">
        <v>33</v>
      </c>
      <c r="F7" s="10">
        <v>2.2387E7</v>
      </c>
      <c r="G7" s="29" t="s">
        <v>41</v>
      </c>
      <c r="H7" s="11"/>
      <c r="I7" s="23" t="s">
        <v>29</v>
      </c>
      <c r="J7" s="14">
        <v>1.0</v>
      </c>
      <c r="K7" s="11"/>
      <c r="L7" s="11"/>
      <c r="M7" s="11"/>
      <c r="N7" s="11"/>
      <c r="O7" s="2"/>
    </row>
    <row r="8">
      <c r="A8" s="5">
        <v>7.0</v>
      </c>
      <c r="B8" s="13" t="s">
        <v>35</v>
      </c>
      <c r="C8" s="8" t="s">
        <v>15</v>
      </c>
      <c r="D8" s="20" t="s">
        <v>16</v>
      </c>
      <c r="E8" s="9" t="s">
        <v>12</v>
      </c>
      <c r="F8" s="10">
        <v>2.94E7</v>
      </c>
      <c r="G8" s="17">
        <v>46113.0</v>
      </c>
      <c r="H8" s="11"/>
      <c r="I8" s="23" t="s">
        <v>34</v>
      </c>
      <c r="J8" s="14">
        <v>1.0</v>
      </c>
      <c r="K8" s="11"/>
      <c r="L8" s="11"/>
      <c r="M8" s="11"/>
      <c r="N8" s="11"/>
      <c r="O8" s="2"/>
    </row>
    <row r="9">
      <c r="A9" s="5">
        <v>8.0</v>
      </c>
      <c r="B9" s="26" t="s">
        <v>39</v>
      </c>
      <c r="C9" s="8" t="s">
        <v>10</v>
      </c>
      <c r="D9" s="9" t="s">
        <v>32</v>
      </c>
      <c r="E9" s="8" t="s">
        <v>33</v>
      </c>
      <c r="F9" s="10">
        <v>2.2387E7</v>
      </c>
      <c r="G9" s="37"/>
      <c r="H9" s="11"/>
      <c r="I9" s="23" t="s">
        <v>38</v>
      </c>
      <c r="J9" s="14">
        <v>4.0</v>
      </c>
      <c r="K9" s="11"/>
      <c r="L9" s="11"/>
      <c r="M9" s="11"/>
      <c r="N9" s="11"/>
      <c r="O9" s="2"/>
    </row>
    <row r="10">
      <c r="A10" s="5">
        <v>9.0</v>
      </c>
      <c r="B10" s="41" t="s">
        <v>42</v>
      </c>
      <c r="C10" s="8" t="s">
        <v>10</v>
      </c>
      <c r="D10" s="9" t="s">
        <v>19</v>
      </c>
      <c r="E10" s="9" t="s">
        <v>12</v>
      </c>
      <c r="F10" s="10">
        <v>2.1E7</v>
      </c>
      <c r="G10" s="25" t="s">
        <v>36</v>
      </c>
      <c r="H10" s="11"/>
      <c r="I10" s="23" t="s">
        <v>40</v>
      </c>
      <c r="J10" s="14">
        <v>2.0</v>
      </c>
      <c r="K10" s="28"/>
      <c r="L10" s="28"/>
      <c r="M10" s="28"/>
      <c r="N10" s="28"/>
      <c r="O10" s="2"/>
    </row>
    <row r="11">
      <c r="A11" s="5"/>
      <c r="H11" s="11"/>
      <c r="I11" s="23" t="s">
        <v>43</v>
      </c>
      <c r="J11" s="32">
        <v>12.0</v>
      </c>
      <c r="K11" s="28"/>
      <c r="L11" s="28"/>
      <c r="M11" s="28"/>
      <c r="N11" s="28"/>
      <c r="O11" s="2"/>
    </row>
    <row r="12">
      <c r="A12" s="2"/>
      <c r="B12" s="33"/>
      <c r="C12" s="33"/>
      <c r="D12" s="2"/>
      <c r="E12" s="2"/>
      <c r="F12" s="35"/>
      <c r="G12" s="2"/>
      <c r="H12" s="11"/>
      <c r="I12" s="23" t="s">
        <v>48</v>
      </c>
      <c r="J12" s="32">
        <v>2.0</v>
      </c>
      <c r="K12" s="2"/>
      <c r="L12" s="2"/>
      <c r="M12" s="2"/>
      <c r="N12" s="2"/>
      <c r="O12" s="2"/>
    </row>
    <row r="13">
      <c r="A13" s="2"/>
      <c r="B13" s="33"/>
      <c r="C13" s="33"/>
      <c r="D13" s="2"/>
      <c r="E13" s="2"/>
      <c r="F13" s="35"/>
      <c r="G13" s="2"/>
      <c r="H13" s="11"/>
      <c r="I13" s="23" t="s">
        <v>49</v>
      </c>
      <c r="J13" s="32">
        <v>9.0</v>
      </c>
      <c r="K13" s="2"/>
      <c r="L13" s="2"/>
      <c r="M13" s="2"/>
      <c r="N13" s="2"/>
      <c r="O13" s="2"/>
    </row>
    <row r="14">
      <c r="A14" s="2"/>
      <c r="B14" s="33" t="s">
        <v>44</v>
      </c>
      <c r="C14" s="33">
        <v>4.0</v>
      </c>
      <c r="D14" s="2"/>
      <c r="E14" s="33" t="s">
        <v>50</v>
      </c>
      <c r="F14" s="35"/>
      <c r="G14" s="2"/>
      <c r="H14" s="11"/>
      <c r="I14" s="38" t="s">
        <v>46</v>
      </c>
      <c r="J14" s="43">
        <f>SUM(J2:J13)</f>
        <v>57</v>
      </c>
      <c r="K14" s="2"/>
      <c r="L14" s="2"/>
      <c r="M14" s="2"/>
      <c r="N14" s="2"/>
      <c r="O14" s="2"/>
    </row>
    <row r="15">
      <c r="A15" s="44"/>
      <c r="B15" s="44"/>
      <c r="C15" s="44"/>
      <c r="D15" s="2"/>
      <c r="E15" s="2"/>
      <c r="F15" s="2"/>
      <c r="G15" s="2"/>
      <c r="H15" s="11"/>
      <c r="K15" s="2"/>
      <c r="L15" s="2"/>
      <c r="M15" s="2"/>
      <c r="N15" s="2"/>
      <c r="O15" s="2"/>
    </row>
    <row r="16">
      <c r="A16" s="44"/>
      <c r="B16" s="44"/>
      <c r="C16" s="44"/>
      <c r="D16" s="2"/>
      <c r="E16" s="2"/>
      <c r="F16" s="2"/>
      <c r="G16" s="2"/>
      <c r="H16" s="11"/>
      <c r="I16" s="2"/>
      <c r="J16" s="2"/>
      <c r="K16" s="2"/>
      <c r="L16" s="2"/>
      <c r="M16" s="2"/>
      <c r="N16" s="2"/>
      <c r="O16" s="2"/>
    </row>
    <row r="17">
      <c r="A17" s="44"/>
      <c r="B17" s="44"/>
      <c r="C17" s="44"/>
      <c r="D17" s="2"/>
      <c r="E17" s="2"/>
      <c r="F17" s="2"/>
      <c r="G17" s="2"/>
      <c r="H17" s="11"/>
      <c r="K17" s="2"/>
      <c r="L17" s="2"/>
      <c r="M17" s="2"/>
      <c r="N17" s="2"/>
      <c r="O17" s="2"/>
    </row>
    <row r="18">
      <c r="A18" s="45" t="s">
        <v>0</v>
      </c>
      <c r="B18" s="45" t="s">
        <v>1</v>
      </c>
      <c r="C18" s="45" t="s">
        <v>2</v>
      </c>
      <c r="D18" s="45" t="s">
        <v>3</v>
      </c>
      <c r="E18" s="46"/>
      <c r="F18" s="45" t="s">
        <v>5</v>
      </c>
      <c r="G18" s="47" t="s">
        <v>9</v>
      </c>
      <c r="H18" s="11"/>
      <c r="I18" s="44"/>
      <c r="J18" s="2"/>
      <c r="K18" s="2"/>
      <c r="L18" s="2"/>
      <c r="M18" s="2"/>
      <c r="N18" s="2"/>
      <c r="O18" s="2"/>
    </row>
    <row r="19">
      <c r="A19" s="48">
        <v>1.0</v>
      </c>
      <c r="B19" s="6" t="s">
        <v>51</v>
      </c>
      <c r="C19" s="6" t="s">
        <v>10</v>
      </c>
      <c r="D19" s="49" t="s">
        <v>52</v>
      </c>
      <c r="E19" s="9" t="s">
        <v>53</v>
      </c>
      <c r="F19" s="48" t="s">
        <v>54</v>
      </c>
      <c r="G19" s="50"/>
      <c r="H19" s="11"/>
      <c r="I19" s="51"/>
      <c r="J19" s="2"/>
      <c r="K19" s="2"/>
      <c r="L19" s="2"/>
      <c r="M19" s="2"/>
      <c r="N19" s="2"/>
      <c r="O19" s="2"/>
    </row>
    <row r="20">
      <c r="A20" s="48">
        <v>2.0</v>
      </c>
      <c r="B20" s="26" t="s">
        <v>56</v>
      </c>
      <c r="C20" s="6" t="s">
        <v>10</v>
      </c>
      <c r="D20" s="49" t="s">
        <v>52</v>
      </c>
      <c r="E20" s="9" t="s">
        <v>53</v>
      </c>
      <c r="F20" s="48" t="s">
        <v>54</v>
      </c>
      <c r="G20" s="50"/>
      <c r="H20" s="11"/>
      <c r="I20" s="51"/>
      <c r="J20" s="2"/>
      <c r="K20" s="2"/>
      <c r="L20" s="2"/>
      <c r="M20" s="2"/>
      <c r="N20" s="2"/>
      <c r="O20" s="2"/>
    </row>
    <row r="21">
      <c r="A21" s="48">
        <v>3.0</v>
      </c>
      <c r="B21" s="26" t="s">
        <v>57</v>
      </c>
      <c r="C21" s="6" t="s">
        <v>10</v>
      </c>
      <c r="D21" s="49" t="s">
        <v>52</v>
      </c>
      <c r="E21" s="9" t="s">
        <v>53</v>
      </c>
      <c r="F21" s="48" t="s">
        <v>54</v>
      </c>
      <c r="G21" s="50"/>
      <c r="H21" s="11"/>
      <c r="I21" s="51"/>
      <c r="J21" s="2"/>
      <c r="K21" s="2"/>
      <c r="L21" s="2"/>
      <c r="M21" s="2"/>
      <c r="N21" s="2"/>
      <c r="O21" s="2"/>
    </row>
    <row r="22">
      <c r="A22" s="48">
        <v>4.0</v>
      </c>
      <c r="B22" s="52" t="s">
        <v>58</v>
      </c>
      <c r="C22" s="6" t="s">
        <v>10</v>
      </c>
      <c r="D22" s="49" t="s">
        <v>59</v>
      </c>
      <c r="E22" s="9" t="s">
        <v>53</v>
      </c>
      <c r="F22" s="48" t="s">
        <v>54</v>
      </c>
      <c r="G22" s="50"/>
      <c r="H22" s="11"/>
      <c r="I22" s="53"/>
      <c r="J22" s="2"/>
      <c r="K22" s="2"/>
      <c r="L22" s="2"/>
      <c r="M22" s="2"/>
      <c r="N22" s="2"/>
      <c r="O22" s="2"/>
    </row>
    <row r="23">
      <c r="A23" s="54">
        <v>5.0</v>
      </c>
      <c r="B23" s="24" t="s">
        <v>60</v>
      </c>
      <c r="C23" s="24" t="s">
        <v>10</v>
      </c>
      <c r="D23" s="55" t="s">
        <v>52</v>
      </c>
      <c r="E23" s="56" t="s">
        <v>53</v>
      </c>
      <c r="F23" s="48" t="s">
        <v>54</v>
      </c>
      <c r="G23" s="57" t="s">
        <v>63</v>
      </c>
      <c r="H23" s="11"/>
      <c r="I23" s="58"/>
      <c r="J23" s="2"/>
      <c r="K23" s="2"/>
      <c r="L23" s="2"/>
      <c r="M23" s="2"/>
      <c r="N23" s="2"/>
      <c r="O23" s="2"/>
    </row>
    <row r="24">
      <c r="A24" s="48">
        <v>6.0</v>
      </c>
      <c r="B24" s="26" t="s">
        <v>61</v>
      </c>
      <c r="C24" s="6" t="s">
        <v>10</v>
      </c>
      <c r="D24" s="49" t="s">
        <v>52</v>
      </c>
      <c r="E24" s="9" t="s">
        <v>53</v>
      </c>
      <c r="F24" s="48" t="s">
        <v>54</v>
      </c>
      <c r="G24" s="50"/>
      <c r="H24" s="11"/>
      <c r="I24" s="58"/>
      <c r="J24" s="2"/>
      <c r="K24" s="2"/>
      <c r="L24" s="2"/>
      <c r="M24" s="2"/>
      <c r="N24" s="2"/>
      <c r="O24" s="2"/>
    </row>
    <row r="25">
      <c r="A25" s="48">
        <v>7.0</v>
      </c>
      <c r="B25" s="26" t="s">
        <v>62</v>
      </c>
      <c r="C25" s="6" t="s">
        <v>10</v>
      </c>
      <c r="D25" s="49" t="s">
        <v>52</v>
      </c>
      <c r="E25" s="9" t="s">
        <v>53</v>
      </c>
      <c r="F25" s="48" t="s">
        <v>54</v>
      </c>
      <c r="G25" s="50"/>
      <c r="H25" s="11"/>
      <c r="I25" s="59"/>
      <c r="J25" s="2"/>
      <c r="K25" s="2"/>
      <c r="L25" s="2"/>
      <c r="M25" s="2"/>
      <c r="N25" s="2"/>
      <c r="O25" s="2"/>
    </row>
    <row r="26">
      <c r="A26" s="48">
        <v>8.0</v>
      </c>
      <c r="B26" s="26" t="s">
        <v>64</v>
      </c>
      <c r="C26" s="6" t="s">
        <v>10</v>
      </c>
      <c r="D26" s="49" t="s">
        <v>52</v>
      </c>
      <c r="E26" s="9" t="s">
        <v>53</v>
      </c>
      <c r="F26" s="48" t="s">
        <v>54</v>
      </c>
      <c r="G26" s="50"/>
      <c r="H26" s="11"/>
      <c r="I26" s="59"/>
      <c r="J26" s="2"/>
      <c r="K26" s="2"/>
      <c r="L26" s="2"/>
      <c r="M26" s="2"/>
      <c r="N26" s="2"/>
      <c r="O26" s="2"/>
    </row>
    <row r="27">
      <c r="A27" s="48">
        <v>9.0</v>
      </c>
      <c r="B27" s="26" t="s">
        <v>65</v>
      </c>
      <c r="C27" s="6" t="s">
        <v>10</v>
      </c>
      <c r="D27" s="49" t="s">
        <v>52</v>
      </c>
      <c r="E27" s="9" t="s">
        <v>53</v>
      </c>
      <c r="F27" s="48" t="s">
        <v>54</v>
      </c>
      <c r="G27" s="50"/>
      <c r="H27" s="11"/>
      <c r="I27" s="2"/>
      <c r="J27" s="2"/>
      <c r="K27" s="2"/>
      <c r="L27" s="2"/>
      <c r="M27" s="2"/>
      <c r="N27" s="2"/>
      <c r="O27" s="2"/>
    </row>
    <row r="28">
      <c r="A28" s="48">
        <v>10.0</v>
      </c>
      <c r="B28" s="26" t="s">
        <v>66</v>
      </c>
      <c r="C28" s="6" t="s">
        <v>10</v>
      </c>
      <c r="D28" s="49" t="s">
        <v>52</v>
      </c>
      <c r="E28" s="9" t="s">
        <v>53</v>
      </c>
      <c r="F28" s="48" t="s">
        <v>54</v>
      </c>
      <c r="G28" s="50"/>
      <c r="H28" s="11"/>
      <c r="I28" s="2"/>
      <c r="J28" s="2"/>
      <c r="K28" s="2"/>
      <c r="L28" s="2"/>
      <c r="M28" s="2"/>
      <c r="N28" s="2"/>
      <c r="O28" s="2"/>
    </row>
    <row r="29">
      <c r="A29" s="60">
        <v>11.0</v>
      </c>
      <c r="B29" s="61" t="s">
        <v>67</v>
      </c>
      <c r="C29" s="6" t="s">
        <v>10</v>
      </c>
      <c r="D29" s="49" t="s">
        <v>52</v>
      </c>
      <c r="E29" s="8" t="s">
        <v>53</v>
      </c>
      <c r="F29" s="48" t="s">
        <v>54</v>
      </c>
      <c r="G29" s="50"/>
      <c r="H29" s="11"/>
      <c r="I29" s="2"/>
      <c r="J29" s="2"/>
      <c r="K29" s="2"/>
      <c r="L29" s="2"/>
      <c r="M29" s="2"/>
      <c r="N29" s="2"/>
      <c r="O29" s="2"/>
    </row>
    <row r="30">
      <c r="A30" s="60">
        <v>12.0</v>
      </c>
      <c r="B30" s="6" t="s">
        <v>68</v>
      </c>
      <c r="C30" s="61" t="s">
        <v>10</v>
      </c>
      <c r="D30" s="49" t="s">
        <v>52</v>
      </c>
      <c r="E30" s="8" t="s">
        <v>53</v>
      </c>
      <c r="F30" s="48" t="s">
        <v>54</v>
      </c>
      <c r="G30" s="50"/>
      <c r="H30" s="11"/>
      <c r="I30" s="2"/>
      <c r="J30" s="2"/>
      <c r="K30" s="2"/>
      <c r="L30" s="2"/>
      <c r="M30" s="2"/>
      <c r="N30" s="2"/>
      <c r="O30" s="2"/>
    </row>
    <row r="31">
      <c r="A31" s="65">
        <v>13.0</v>
      </c>
      <c r="B31" s="66" t="s">
        <v>69</v>
      </c>
      <c r="C31" s="67" t="s">
        <v>10</v>
      </c>
      <c r="D31" s="68" t="s">
        <v>52</v>
      </c>
      <c r="E31" s="69" t="s">
        <v>53</v>
      </c>
      <c r="F31" s="48" t="s">
        <v>54</v>
      </c>
      <c r="G31" s="57" t="s">
        <v>70</v>
      </c>
      <c r="H31" s="11"/>
      <c r="I31" s="2"/>
      <c r="J31" s="2"/>
      <c r="K31" s="2"/>
      <c r="L31" s="2"/>
      <c r="M31" s="2"/>
      <c r="N31" s="2"/>
      <c r="O31" s="2"/>
    </row>
    <row r="32">
      <c r="H32" s="11"/>
      <c r="I32" s="2"/>
      <c r="J32" s="2"/>
      <c r="K32" s="2"/>
      <c r="L32" s="2"/>
      <c r="M32" s="2"/>
      <c r="N32" s="2"/>
      <c r="O32" s="2"/>
    </row>
    <row r="33">
      <c r="E33" s="70" t="s">
        <v>74</v>
      </c>
      <c r="H33" s="11"/>
      <c r="I33" s="2"/>
      <c r="J33" s="2"/>
      <c r="K33" s="2"/>
      <c r="L33" s="2"/>
      <c r="M33" s="2"/>
      <c r="N33" s="2"/>
      <c r="O33" s="2"/>
    </row>
    <row r="34">
      <c r="H34" s="11"/>
      <c r="I34" s="2"/>
      <c r="J34" s="2"/>
      <c r="K34" s="2"/>
      <c r="L34" s="2"/>
      <c r="M34" s="2"/>
      <c r="N34" s="2"/>
      <c r="O34" s="2"/>
    </row>
    <row r="35">
      <c r="A35" s="45" t="s">
        <v>0</v>
      </c>
      <c r="B35" s="45" t="s">
        <v>1</v>
      </c>
      <c r="C35" s="45" t="s">
        <v>2</v>
      </c>
      <c r="D35" s="45" t="s">
        <v>3</v>
      </c>
      <c r="E35" s="46"/>
      <c r="F35" s="45" t="s">
        <v>5</v>
      </c>
      <c r="G35" s="47" t="s">
        <v>9</v>
      </c>
      <c r="H35" s="11"/>
      <c r="I35" s="2"/>
      <c r="J35" s="2"/>
      <c r="K35" s="2"/>
      <c r="L35" s="2"/>
      <c r="M35" s="2"/>
      <c r="N35" s="2"/>
      <c r="O35" s="2"/>
    </row>
    <row r="36">
      <c r="A36" s="48">
        <v>1.0</v>
      </c>
      <c r="B36" s="26" t="s">
        <v>71</v>
      </c>
      <c r="C36" s="26" t="s">
        <v>15</v>
      </c>
      <c r="D36" s="50" t="s">
        <v>72</v>
      </c>
      <c r="E36" s="57" t="s">
        <v>77</v>
      </c>
      <c r="F36" s="71">
        <v>2.0E7</v>
      </c>
      <c r="G36" s="73"/>
      <c r="H36" s="11"/>
      <c r="I36" s="2"/>
      <c r="J36" s="2"/>
      <c r="K36" s="2"/>
      <c r="L36" s="2"/>
      <c r="M36" s="2"/>
      <c r="N36" s="2"/>
      <c r="O36" s="2"/>
    </row>
    <row r="37">
      <c r="A37" s="48">
        <v>2.0</v>
      </c>
      <c r="B37" s="26" t="s">
        <v>75</v>
      </c>
      <c r="C37" s="26" t="s">
        <v>15</v>
      </c>
      <c r="D37" s="50" t="s">
        <v>72</v>
      </c>
      <c r="E37" s="57" t="s">
        <v>79</v>
      </c>
      <c r="F37" s="71">
        <v>2.0E7</v>
      </c>
      <c r="G37" s="73"/>
      <c r="H37" s="11"/>
      <c r="I37" s="2"/>
      <c r="J37" s="2"/>
      <c r="K37" s="2"/>
      <c r="L37" s="2"/>
      <c r="M37" s="2"/>
      <c r="N37" s="2"/>
      <c r="O37" s="2"/>
    </row>
    <row r="38">
      <c r="A38" s="48">
        <v>3.0</v>
      </c>
      <c r="B38" s="26" t="s">
        <v>76</v>
      </c>
      <c r="C38" s="26" t="s">
        <v>15</v>
      </c>
      <c r="D38" s="50" t="s">
        <v>72</v>
      </c>
      <c r="E38" s="57" t="s">
        <v>79</v>
      </c>
      <c r="F38" s="71">
        <v>2.0E7</v>
      </c>
      <c r="G38" s="50"/>
      <c r="H38" s="11"/>
      <c r="I38" s="2"/>
      <c r="J38" s="2"/>
      <c r="K38" s="2"/>
      <c r="L38" s="2"/>
      <c r="M38" s="2"/>
      <c r="N38" s="2"/>
      <c r="O38" s="2"/>
    </row>
    <row r="39">
      <c r="A39" s="48">
        <v>4.0</v>
      </c>
      <c r="B39" s="72" t="s">
        <v>78</v>
      </c>
      <c r="C39" s="26" t="s">
        <v>15</v>
      </c>
      <c r="D39" s="50" t="s">
        <v>72</v>
      </c>
      <c r="E39" s="57" t="s">
        <v>77</v>
      </c>
      <c r="F39" s="71">
        <v>2.0E7</v>
      </c>
      <c r="G39" s="50"/>
      <c r="H39" s="11"/>
      <c r="I39" s="2"/>
      <c r="J39" s="2"/>
      <c r="K39" s="2"/>
      <c r="L39" s="2"/>
      <c r="M39" s="2"/>
      <c r="N39" s="2"/>
      <c r="O39" s="2"/>
    </row>
    <row r="40">
      <c r="A40" s="77">
        <v>5.0</v>
      </c>
      <c r="B40" s="6" t="s">
        <v>83</v>
      </c>
      <c r="C40" s="26" t="s">
        <v>15</v>
      </c>
      <c r="D40" s="50" t="s">
        <v>81</v>
      </c>
      <c r="E40" s="50" t="s">
        <v>84</v>
      </c>
      <c r="F40" s="75"/>
      <c r="G40" s="50"/>
      <c r="H40" s="11"/>
      <c r="I40" s="2"/>
      <c r="J40" s="2"/>
      <c r="K40" s="2"/>
      <c r="L40" s="2"/>
      <c r="M40" s="2"/>
      <c r="N40" s="2"/>
      <c r="O40" s="2"/>
    </row>
    <row r="41">
      <c r="A41" s="77">
        <v>6.0</v>
      </c>
      <c r="B41" s="6" t="s">
        <v>85</v>
      </c>
      <c r="C41" s="8" t="s">
        <v>10</v>
      </c>
      <c r="D41" s="50" t="s">
        <v>81</v>
      </c>
      <c r="E41" s="50" t="s">
        <v>84</v>
      </c>
      <c r="F41" s="75"/>
      <c r="G41" s="50"/>
      <c r="H41" s="11"/>
      <c r="I41" s="2"/>
      <c r="J41" s="2"/>
      <c r="K41" s="2"/>
      <c r="L41" s="2"/>
      <c r="M41" s="2"/>
      <c r="N41" s="2"/>
      <c r="O41" s="2"/>
    </row>
    <row r="42">
      <c r="B42" s="33"/>
      <c r="C42" s="33"/>
      <c r="G42" s="44"/>
      <c r="H42" s="28"/>
      <c r="I42" s="44"/>
      <c r="J42" s="44"/>
      <c r="K42" s="44"/>
      <c r="L42" s="44"/>
      <c r="M42" s="44"/>
      <c r="N42" s="44"/>
      <c r="O42" s="44"/>
    </row>
    <row r="43">
      <c r="E43" s="70" t="s">
        <v>86</v>
      </c>
      <c r="G43" s="74"/>
      <c r="H43" s="11"/>
      <c r="I43" s="74"/>
      <c r="J43" s="74"/>
      <c r="K43" s="74"/>
      <c r="L43" s="74"/>
      <c r="M43" s="74"/>
      <c r="N43" s="74"/>
      <c r="O43" s="2"/>
    </row>
    <row r="44">
      <c r="G44" s="74"/>
      <c r="H44" s="11"/>
      <c r="I44" s="74"/>
      <c r="J44" s="74"/>
      <c r="K44" s="74"/>
      <c r="L44" s="74"/>
      <c r="M44" s="74"/>
      <c r="N44" s="74"/>
      <c r="O44" s="2"/>
    </row>
    <row r="45">
      <c r="A45" s="45" t="s">
        <v>0</v>
      </c>
      <c r="B45" s="45" t="s">
        <v>1</v>
      </c>
      <c r="C45" s="46"/>
      <c r="D45" s="45" t="s">
        <v>3</v>
      </c>
      <c r="E45" s="46"/>
      <c r="F45" s="45" t="s">
        <v>5</v>
      </c>
      <c r="G45" s="47" t="s">
        <v>9</v>
      </c>
      <c r="H45" s="11"/>
      <c r="I45" s="74"/>
      <c r="J45" s="74"/>
      <c r="K45" s="74"/>
      <c r="L45" s="74"/>
      <c r="M45" s="74"/>
      <c r="N45" s="74"/>
      <c r="O45" s="2"/>
    </row>
    <row r="46">
      <c r="A46" s="48">
        <v>1.0</v>
      </c>
      <c r="B46" s="24" t="s">
        <v>80</v>
      </c>
      <c r="C46" s="9" t="s">
        <v>10</v>
      </c>
      <c r="D46" s="50" t="s">
        <v>81</v>
      </c>
      <c r="E46" s="50" t="s">
        <v>82</v>
      </c>
      <c r="F46" s="79">
        <v>2.185E7</v>
      </c>
      <c r="G46" s="80" t="s">
        <v>93</v>
      </c>
      <c r="H46" s="11"/>
      <c r="I46" s="74"/>
      <c r="J46" s="74"/>
      <c r="K46" s="74"/>
      <c r="L46" s="74"/>
      <c r="M46" s="74"/>
      <c r="N46" s="74"/>
      <c r="O46" s="2"/>
    </row>
    <row r="47">
      <c r="A47" s="2"/>
      <c r="B47" s="33"/>
      <c r="C47" s="33"/>
      <c r="D47" s="2"/>
      <c r="E47" s="2"/>
      <c r="F47" s="2"/>
      <c r="G47" s="2"/>
      <c r="H47" s="11"/>
      <c r="I47" s="2"/>
      <c r="J47" s="2"/>
      <c r="K47" s="2"/>
      <c r="L47" s="2"/>
      <c r="M47" s="2"/>
      <c r="N47" s="2"/>
      <c r="O47" s="2"/>
    </row>
    <row r="48">
      <c r="A48" s="2"/>
      <c r="B48" s="2"/>
      <c r="C48" s="2"/>
      <c r="D48" s="2"/>
      <c r="E48" s="2"/>
      <c r="F48" s="2"/>
      <c r="G48" s="2"/>
      <c r="H48" s="11"/>
      <c r="I48" s="2"/>
      <c r="J48" s="2"/>
      <c r="K48" s="2"/>
      <c r="L48" s="2"/>
      <c r="M48" s="2"/>
      <c r="N48" s="2"/>
      <c r="O48" s="2"/>
    </row>
    <row r="49">
      <c r="A49" s="2"/>
      <c r="B49" s="2"/>
      <c r="C49" s="2"/>
      <c r="D49" s="2"/>
      <c r="E49" s="2"/>
      <c r="F49" s="2"/>
      <c r="G49" s="2"/>
      <c r="H49" s="11"/>
      <c r="I49" s="2"/>
      <c r="J49" s="2"/>
      <c r="K49" s="2"/>
      <c r="L49" s="2"/>
      <c r="M49" s="2"/>
      <c r="N49" s="2"/>
      <c r="O49" s="2"/>
    </row>
    <row r="50">
      <c r="A50" s="45" t="s">
        <v>0</v>
      </c>
      <c r="B50" s="45" t="s">
        <v>1</v>
      </c>
      <c r="C50" s="46"/>
      <c r="D50" s="45" t="s">
        <v>3</v>
      </c>
      <c r="E50" s="46"/>
      <c r="F50" s="45" t="s">
        <v>5</v>
      </c>
      <c r="G50" s="47" t="s">
        <v>9</v>
      </c>
      <c r="H50" s="11"/>
      <c r="I50" s="2"/>
      <c r="J50" s="2"/>
      <c r="K50" s="2"/>
      <c r="L50" s="2"/>
      <c r="M50" s="2"/>
      <c r="N50" s="2"/>
      <c r="O50" s="2"/>
    </row>
    <row r="51">
      <c r="A51" s="60">
        <v>1.0</v>
      </c>
      <c r="B51" s="6" t="s">
        <v>87</v>
      </c>
      <c r="C51" s="9" t="s">
        <v>10</v>
      </c>
      <c r="D51" s="50" t="s">
        <v>81</v>
      </c>
      <c r="E51" s="50" t="s">
        <v>88</v>
      </c>
      <c r="F51" s="78">
        <v>4.0E7</v>
      </c>
      <c r="G51" s="83" t="s">
        <v>99</v>
      </c>
      <c r="H51" s="11"/>
      <c r="I51" s="2"/>
      <c r="J51" s="2"/>
      <c r="K51" s="2"/>
      <c r="L51" s="2"/>
      <c r="M51" s="2"/>
      <c r="N51" s="2"/>
      <c r="O51" s="2"/>
    </row>
    <row r="52">
      <c r="A52" s="54">
        <v>2.0</v>
      </c>
      <c r="B52" s="24" t="s">
        <v>89</v>
      </c>
      <c r="C52" s="56" t="s">
        <v>10</v>
      </c>
      <c r="D52" s="56" t="s">
        <v>90</v>
      </c>
      <c r="E52" s="56" t="s">
        <v>91</v>
      </c>
      <c r="F52" s="62"/>
      <c r="G52" s="84" t="s">
        <v>102</v>
      </c>
      <c r="H52" s="11"/>
      <c r="I52" s="2"/>
      <c r="J52" s="2"/>
      <c r="K52" s="2"/>
      <c r="L52" s="2"/>
      <c r="M52" s="2"/>
      <c r="N52" s="2"/>
      <c r="O52" s="2"/>
    </row>
    <row r="53">
      <c r="A53" s="60">
        <v>3.0</v>
      </c>
      <c r="B53" s="6" t="s">
        <v>92</v>
      </c>
      <c r="C53" s="8" t="s">
        <v>10</v>
      </c>
      <c r="D53" s="8" t="s">
        <v>90</v>
      </c>
      <c r="E53" s="8" t="s">
        <v>91</v>
      </c>
      <c r="F53" s="62"/>
      <c r="G53" s="84" t="s">
        <v>103</v>
      </c>
      <c r="H53" s="11"/>
      <c r="I53" s="74"/>
      <c r="J53" s="74"/>
      <c r="K53" s="74"/>
      <c r="L53" s="74"/>
      <c r="M53" s="74"/>
      <c r="N53" s="74"/>
      <c r="O53" s="2"/>
    </row>
    <row r="54">
      <c r="A54" s="60">
        <v>4.0</v>
      </c>
      <c r="B54" s="6" t="s">
        <v>94</v>
      </c>
      <c r="C54" s="8" t="s">
        <v>10</v>
      </c>
      <c r="D54" s="8" t="s">
        <v>90</v>
      </c>
      <c r="E54" s="8" t="s">
        <v>91</v>
      </c>
      <c r="F54" s="62"/>
      <c r="G54" s="84" t="s">
        <v>103</v>
      </c>
      <c r="H54" s="11"/>
      <c r="I54" s="74"/>
      <c r="J54" s="74"/>
      <c r="K54" s="74"/>
      <c r="L54" s="74"/>
      <c r="M54" s="74"/>
      <c r="N54" s="74"/>
      <c r="O54" s="2"/>
    </row>
    <row r="55">
      <c r="A55" s="60">
        <v>5.0</v>
      </c>
      <c r="B55" s="6" t="s">
        <v>95</v>
      </c>
      <c r="C55" s="8" t="s">
        <v>10</v>
      </c>
      <c r="D55" s="8" t="s">
        <v>25</v>
      </c>
      <c r="E55" s="8" t="s">
        <v>96</v>
      </c>
      <c r="F55" s="82"/>
      <c r="G55" s="83" t="s">
        <v>99</v>
      </c>
      <c r="H55" s="11"/>
      <c r="I55" s="2"/>
      <c r="J55" s="2"/>
      <c r="K55" s="2"/>
      <c r="L55" s="2"/>
      <c r="M55" s="2"/>
      <c r="N55" s="2"/>
      <c r="O55" s="2"/>
    </row>
    <row r="56">
      <c r="A56" s="48">
        <v>6.0</v>
      </c>
      <c r="B56" s="72" t="s">
        <v>97</v>
      </c>
      <c r="C56" s="50" t="s">
        <v>10</v>
      </c>
      <c r="D56" s="8" t="s">
        <v>90</v>
      </c>
      <c r="E56" s="8" t="s">
        <v>91</v>
      </c>
      <c r="F56" s="50"/>
      <c r="G56" s="84" t="s">
        <v>103</v>
      </c>
      <c r="H56" s="11"/>
      <c r="I56" s="2"/>
      <c r="J56" s="2"/>
      <c r="K56" s="2"/>
      <c r="L56" s="2"/>
      <c r="M56" s="2"/>
      <c r="N56" s="2"/>
      <c r="O56" s="2"/>
    </row>
    <row r="57">
      <c r="A57" s="48">
        <v>7.0</v>
      </c>
      <c r="B57" s="72" t="s">
        <v>98</v>
      </c>
      <c r="C57" s="50" t="s">
        <v>10</v>
      </c>
      <c r="D57" s="8" t="s">
        <v>90</v>
      </c>
      <c r="E57" s="8" t="s">
        <v>91</v>
      </c>
      <c r="F57" s="50"/>
      <c r="G57" s="84" t="s">
        <v>103</v>
      </c>
      <c r="H57" s="11"/>
      <c r="I57" s="2"/>
      <c r="J57" s="2"/>
      <c r="K57" s="2"/>
      <c r="L57" s="2"/>
      <c r="M57" s="2"/>
      <c r="N57" s="2"/>
      <c r="O57" s="2"/>
    </row>
    <row r="58">
      <c r="A58" s="57">
        <v>8.0</v>
      </c>
      <c r="B58" s="86" t="s">
        <v>100</v>
      </c>
      <c r="C58" s="87" t="s">
        <v>10</v>
      </c>
      <c r="D58" s="88" t="s">
        <v>104</v>
      </c>
      <c r="E58" s="88" t="s">
        <v>101</v>
      </c>
      <c r="F58" s="50"/>
      <c r="G58" s="57" t="s">
        <v>105</v>
      </c>
      <c r="H58" s="89">
        <v>46173.0</v>
      </c>
      <c r="I58" s="2"/>
      <c r="J58" s="2"/>
      <c r="K58" s="2"/>
      <c r="L58" s="2"/>
      <c r="M58" s="2"/>
      <c r="N58" s="2"/>
      <c r="O58" s="2"/>
    </row>
    <row r="59">
      <c r="G59" s="44"/>
      <c r="H59" s="11"/>
      <c r="I59" s="2"/>
      <c r="J59" s="2"/>
      <c r="K59" s="2"/>
      <c r="L59" s="2"/>
      <c r="M59" s="2"/>
      <c r="N59" s="2"/>
      <c r="O59" s="2"/>
    </row>
    <row r="60">
      <c r="E60" s="70" t="s">
        <v>106</v>
      </c>
      <c r="G60" s="85"/>
      <c r="H60" s="11"/>
      <c r="I60" s="85"/>
      <c r="J60" s="85"/>
      <c r="K60" s="85"/>
      <c r="L60" s="85"/>
      <c r="M60" s="85"/>
      <c r="N60" s="85"/>
      <c r="O60" s="2"/>
    </row>
    <row r="61">
      <c r="H61" s="2"/>
      <c r="I61" s="2"/>
      <c r="J61" s="2"/>
      <c r="K61" s="2"/>
      <c r="L61" s="2"/>
      <c r="M61" s="2"/>
      <c r="N61" s="2"/>
      <c r="O61" s="2"/>
    </row>
    <row r="62">
      <c r="A62" s="45" t="s">
        <v>0</v>
      </c>
      <c r="B62" s="45" t="s">
        <v>1</v>
      </c>
      <c r="C62" s="46"/>
      <c r="D62" s="45" t="s">
        <v>3</v>
      </c>
      <c r="E62" s="46"/>
      <c r="F62" s="45" t="s">
        <v>5</v>
      </c>
      <c r="G62" s="47" t="s">
        <v>9</v>
      </c>
      <c r="H62" s="2"/>
      <c r="I62" s="2"/>
      <c r="J62" s="2"/>
      <c r="K62" s="2"/>
      <c r="L62" s="2"/>
      <c r="M62" s="2"/>
      <c r="N62" s="2"/>
      <c r="O62" s="2"/>
    </row>
    <row r="63">
      <c r="A63" s="60">
        <v>1.0</v>
      </c>
      <c r="B63" s="6" t="s">
        <v>107</v>
      </c>
      <c r="C63" s="9" t="s">
        <v>10</v>
      </c>
      <c r="D63" s="57" t="s">
        <v>109</v>
      </c>
      <c r="E63" s="57" t="s">
        <v>23</v>
      </c>
      <c r="F63" s="37"/>
      <c r="G63" s="83" t="s">
        <v>99</v>
      </c>
      <c r="H63" s="2"/>
      <c r="I63" s="2"/>
      <c r="J63" s="2"/>
      <c r="K63" s="2"/>
      <c r="L63" s="2"/>
      <c r="M63" s="2"/>
      <c r="N63" s="2"/>
      <c r="O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>
      <c r="G65" s="2"/>
      <c r="H65" s="2"/>
      <c r="I65" s="2"/>
      <c r="J65" s="2"/>
      <c r="K65" s="2"/>
      <c r="L65" s="2"/>
      <c r="M65" s="2"/>
      <c r="N65" s="2"/>
      <c r="O65" s="2"/>
    </row>
    <row r="66">
      <c r="A66" s="45" t="s">
        <v>0</v>
      </c>
      <c r="B66" s="45" t="s">
        <v>1</v>
      </c>
      <c r="C66" s="46"/>
      <c r="D66" s="45" t="s">
        <v>3</v>
      </c>
      <c r="E66" s="46"/>
      <c r="F66" s="45" t="s">
        <v>5</v>
      </c>
      <c r="G66" s="47" t="s">
        <v>9</v>
      </c>
      <c r="H66" s="2"/>
      <c r="I66" s="2"/>
      <c r="J66" s="2"/>
      <c r="K66" s="2"/>
      <c r="L66" s="2"/>
      <c r="M66" s="2"/>
      <c r="N66" s="2"/>
      <c r="O66" s="2"/>
    </row>
    <row r="67">
      <c r="A67" s="60">
        <v>1.0</v>
      </c>
      <c r="B67" s="6" t="s">
        <v>110</v>
      </c>
      <c r="C67" s="9" t="s">
        <v>10</v>
      </c>
      <c r="D67" s="57" t="s">
        <v>113</v>
      </c>
      <c r="E67" s="50" t="s">
        <v>20</v>
      </c>
      <c r="F67" s="37"/>
      <c r="G67" s="57" t="s">
        <v>115</v>
      </c>
      <c r="H67" s="2"/>
      <c r="I67" s="2"/>
      <c r="J67" s="2"/>
      <c r="K67" s="2"/>
      <c r="L67" s="2"/>
      <c r="M67" s="2"/>
      <c r="N67" s="2"/>
      <c r="O67" s="2"/>
    </row>
    <row r="68">
      <c r="A68" s="60">
        <v>2.0</v>
      </c>
      <c r="B68" s="61" t="s">
        <v>112</v>
      </c>
      <c r="C68" s="8" t="s">
        <v>10</v>
      </c>
      <c r="D68" s="57" t="s">
        <v>113</v>
      </c>
      <c r="E68" s="50" t="s">
        <v>20</v>
      </c>
      <c r="F68" s="62"/>
      <c r="G68" s="57" t="s">
        <v>115</v>
      </c>
      <c r="H68" s="2"/>
      <c r="I68" s="2"/>
      <c r="J68" s="2"/>
      <c r="K68" s="2"/>
      <c r="L68" s="2"/>
      <c r="M68" s="2"/>
      <c r="N68" s="2"/>
      <c r="O68" s="2"/>
    </row>
    <row r="69">
      <c r="A69" s="48">
        <v>3.0</v>
      </c>
      <c r="B69" s="93" t="s">
        <v>116</v>
      </c>
      <c r="C69" s="9" t="s">
        <v>10</v>
      </c>
      <c r="D69" s="50" t="s">
        <v>117</v>
      </c>
      <c r="E69" s="50" t="s">
        <v>20</v>
      </c>
      <c r="F69" s="50"/>
      <c r="G69" s="94">
        <v>46196.0</v>
      </c>
      <c r="H69" s="33"/>
      <c r="I69" s="2"/>
      <c r="J69" s="2"/>
      <c r="K69" s="2"/>
      <c r="L69" s="2"/>
      <c r="M69" s="2"/>
      <c r="N69" s="2"/>
      <c r="O69" s="2"/>
    </row>
    <row r="70">
      <c r="A70" s="60">
        <v>4.0</v>
      </c>
      <c r="B70" s="92" t="s">
        <v>119</v>
      </c>
      <c r="C70" s="8" t="s">
        <v>10</v>
      </c>
      <c r="D70" s="57" t="s">
        <v>113</v>
      </c>
      <c r="E70" s="50" t="s">
        <v>20</v>
      </c>
      <c r="F70" s="50"/>
      <c r="G70" s="57" t="s">
        <v>115</v>
      </c>
      <c r="H70" s="33"/>
      <c r="I70" s="2"/>
      <c r="J70" s="2"/>
      <c r="K70" s="2"/>
      <c r="L70" s="2"/>
      <c r="M70" s="2"/>
      <c r="N70" s="2"/>
      <c r="O70" s="2"/>
    </row>
    <row r="71">
      <c r="A71" s="48">
        <v>5.0</v>
      </c>
      <c r="B71" s="95" t="s">
        <v>120</v>
      </c>
      <c r="C71" s="9" t="s">
        <v>10</v>
      </c>
      <c r="D71" s="50" t="s">
        <v>117</v>
      </c>
      <c r="E71" s="50" t="s">
        <v>20</v>
      </c>
      <c r="F71" s="50"/>
      <c r="G71" s="94">
        <v>46203.0</v>
      </c>
      <c r="H71" s="33"/>
      <c r="I71" s="2"/>
      <c r="J71" s="2"/>
      <c r="K71" s="2"/>
      <c r="L71" s="2"/>
      <c r="M71" s="2"/>
      <c r="N71" s="2"/>
      <c r="O71" s="2"/>
    </row>
    <row r="72">
      <c r="A72" s="60">
        <v>6.0</v>
      </c>
      <c r="B72" s="72" t="s">
        <v>121</v>
      </c>
      <c r="C72" s="8" t="s">
        <v>10</v>
      </c>
      <c r="D72" s="50" t="s">
        <v>117</v>
      </c>
      <c r="E72" s="50" t="s">
        <v>20</v>
      </c>
      <c r="F72" s="50"/>
      <c r="G72" s="94">
        <v>46203.0</v>
      </c>
      <c r="H72" s="33"/>
      <c r="I72" s="2"/>
      <c r="J72" s="2"/>
      <c r="K72" s="2"/>
      <c r="L72" s="2"/>
      <c r="M72" s="2"/>
      <c r="N72" s="2"/>
      <c r="O72" s="2"/>
    </row>
    <row r="73">
      <c r="A73" s="48">
        <v>7.0</v>
      </c>
      <c r="B73" s="96" t="s">
        <v>122</v>
      </c>
      <c r="C73" s="56" t="s">
        <v>10</v>
      </c>
      <c r="D73" s="87" t="s">
        <v>111</v>
      </c>
      <c r="E73" s="87" t="s">
        <v>20</v>
      </c>
      <c r="F73" s="87"/>
      <c r="G73" s="88" t="s">
        <v>123</v>
      </c>
      <c r="H73" s="33" t="s">
        <v>124</v>
      </c>
      <c r="I73" s="2"/>
      <c r="J73" s="2"/>
      <c r="K73" s="2"/>
      <c r="L73" s="2"/>
      <c r="M73" s="2"/>
      <c r="N73" s="2"/>
      <c r="O73" s="2"/>
    </row>
    <row r="74">
      <c r="A74" s="50"/>
      <c r="B74" s="50"/>
      <c r="C74" s="50"/>
      <c r="D74" s="50"/>
      <c r="E74" s="50"/>
      <c r="F74" s="50"/>
      <c r="G74" s="50"/>
      <c r="H74" s="2"/>
      <c r="I74" s="2"/>
      <c r="J74" s="2"/>
      <c r="K74" s="2"/>
      <c r="L74" s="2"/>
      <c r="M74" s="2"/>
      <c r="N74" s="2"/>
      <c r="O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>
      <c r="A76" s="44"/>
      <c r="B76" s="44"/>
      <c r="C76" s="44"/>
      <c r="D76" s="44"/>
      <c r="E76" s="99" t="s">
        <v>127</v>
      </c>
      <c r="F76" s="44"/>
      <c r="G76" s="2"/>
      <c r="H76" s="2"/>
      <c r="I76" s="2"/>
      <c r="J76" s="2"/>
      <c r="K76" s="2"/>
      <c r="L76" s="2"/>
      <c r="M76" s="2"/>
      <c r="N76" s="2"/>
      <c r="O76" s="2"/>
    </row>
    <row r="77">
      <c r="A77" s="44"/>
      <c r="B77" s="44"/>
      <c r="C77" s="44"/>
      <c r="D77" s="44"/>
      <c r="E77" s="44"/>
      <c r="F77" s="44"/>
      <c r="G77" s="2"/>
      <c r="H77" s="2"/>
      <c r="I77" s="2"/>
      <c r="J77" s="2"/>
      <c r="K77" s="2"/>
      <c r="L77" s="2"/>
      <c r="M77" s="2"/>
      <c r="N77" s="2"/>
      <c r="O77" s="2"/>
    </row>
    <row r="78">
      <c r="A78" s="45" t="s">
        <v>0</v>
      </c>
      <c r="B78" s="45" t="s">
        <v>1</v>
      </c>
      <c r="C78" s="46"/>
      <c r="D78" s="45" t="s">
        <v>3</v>
      </c>
      <c r="E78" s="46"/>
      <c r="F78" s="45" t="s">
        <v>5</v>
      </c>
      <c r="G78" s="47" t="s">
        <v>9</v>
      </c>
      <c r="H78" s="2"/>
      <c r="I78" s="2"/>
      <c r="J78" s="2"/>
      <c r="K78" s="2"/>
      <c r="L78" s="2"/>
      <c r="M78" s="2"/>
      <c r="N78" s="2"/>
      <c r="O78" s="2"/>
    </row>
    <row r="79">
      <c r="A79" s="60">
        <v>1.0</v>
      </c>
      <c r="B79" s="97" t="s">
        <v>130</v>
      </c>
      <c r="C79" s="9" t="s">
        <v>10</v>
      </c>
      <c r="D79" s="57" t="s">
        <v>126</v>
      </c>
      <c r="E79" s="57" t="s">
        <v>27</v>
      </c>
      <c r="F79" s="98"/>
      <c r="G79" s="50"/>
      <c r="H79" s="2"/>
      <c r="I79" s="2"/>
      <c r="J79" s="2"/>
      <c r="K79" s="2"/>
      <c r="L79" s="2"/>
      <c r="M79" s="2"/>
      <c r="N79" s="2"/>
      <c r="O79" s="2"/>
    </row>
    <row r="80">
      <c r="A80" s="77">
        <v>2.0</v>
      </c>
      <c r="B80" s="100" t="s">
        <v>133</v>
      </c>
      <c r="C80" s="9" t="s">
        <v>10</v>
      </c>
      <c r="D80" s="57" t="s">
        <v>126</v>
      </c>
      <c r="E80" s="57" t="s">
        <v>27</v>
      </c>
      <c r="F80" s="62"/>
      <c r="G80" s="50"/>
      <c r="H80" s="2"/>
      <c r="I80" s="2"/>
      <c r="J80" s="2"/>
      <c r="K80" s="2"/>
      <c r="L80" s="2"/>
      <c r="M80" s="2"/>
      <c r="N80" s="2"/>
      <c r="O80" s="2"/>
    </row>
    <row r="81">
      <c r="A81" s="102">
        <v>3.0</v>
      </c>
      <c r="B81" s="97" t="s">
        <v>129</v>
      </c>
      <c r="C81" s="9" t="s">
        <v>10</v>
      </c>
      <c r="D81" s="102" t="s">
        <v>131</v>
      </c>
      <c r="E81" s="57" t="s">
        <v>27</v>
      </c>
      <c r="F81" s="73"/>
      <c r="G81" s="50"/>
      <c r="H81" s="2"/>
      <c r="I81" s="2"/>
      <c r="J81" s="2"/>
      <c r="K81" s="2"/>
      <c r="L81" s="2"/>
      <c r="M81" s="2"/>
      <c r="N81" s="2"/>
      <c r="O81" s="2"/>
    </row>
    <row r="82">
      <c r="A82" s="102">
        <v>4.0</v>
      </c>
      <c r="B82" s="97" t="s">
        <v>138</v>
      </c>
      <c r="C82" s="103" t="s">
        <v>10</v>
      </c>
      <c r="D82" s="102" t="s">
        <v>131</v>
      </c>
      <c r="E82" s="57" t="s">
        <v>27</v>
      </c>
      <c r="F82" s="73"/>
      <c r="G82" s="57" t="s">
        <v>139</v>
      </c>
      <c r="H82" s="2"/>
      <c r="I82" s="2"/>
      <c r="J82" s="2"/>
      <c r="K82" s="2"/>
      <c r="L82" s="2"/>
      <c r="M82" s="2"/>
      <c r="N82" s="2"/>
      <c r="O82" s="2"/>
    </row>
    <row r="83">
      <c r="A83" s="102">
        <v>5.0</v>
      </c>
      <c r="B83" s="105" t="s">
        <v>135</v>
      </c>
      <c r="C83" s="56" t="s">
        <v>10</v>
      </c>
      <c r="D83" s="106" t="s">
        <v>131</v>
      </c>
      <c r="E83" s="88" t="s">
        <v>27</v>
      </c>
      <c r="F83" s="107"/>
      <c r="G83" s="88" t="s">
        <v>140</v>
      </c>
      <c r="H83" s="2"/>
      <c r="I83" s="2"/>
      <c r="J83" s="2"/>
      <c r="K83" s="2"/>
      <c r="L83" s="2"/>
      <c r="M83" s="2"/>
      <c r="N83" s="2"/>
      <c r="O83" s="2"/>
    </row>
    <row r="84">
      <c r="A84" s="102">
        <v>6.0</v>
      </c>
      <c r="B84" s="100" t="s">
        <v>136</v>
      </c>
      <c r="C84" s="9" t="s">
        <v>10</v>
      </c>
      <c r="D84" s="102" t="s">
        <v>137</v>
      </c>
      <c r="E84" s="57" t="s">
        <v>27</v>
      </c>
      <c r="F84" s="73"/>
      <c r="G84" s="50"/>
      <c r="H84" s="2"/>
      <c r="I84" s="2"/>
      <c r="J84" s="2"/>
      <c r="K84" s="2"/>
      <c r="L84" s="2"/>
      <c r="M84" s="2"/>
      <c r="N84" s="2"/>
      <c r="O84" s="2"/>
    </row>
    <row r="85">
      <c r="A85" s="2"/>
      <c r="B85" s="4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>
      <c r="A86" s="2"/>
      <c r="B86" s="4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>
      <c r="A87" s="2"/>
      <c r="B87" s="4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>
      <c r="A88" s="45" t="s">
        <v>0</v>
      </c>
      <c r="B88" s="45" t="s">
        <v>1</v>
      </c>
      <c r="C88" s="46"/>
      <c r="D88" s="45" t="s">
        <v>3</v>
      </c>
      <c r="E88" s="46"/>
      <c r="F88" s="45" t="s">
        <v>5</v>
      </c>
      <c r="G88" s="47" t="s">
        <v>9</v>
      </c>
      <c r="H88" s="2"/>
      <c r="I88" s="2"/>
      <c r="J88" s="2"/>
      <c r="K88" s="2"/>
      <c r="L88" s="2"/>
      <c r="M88" s="2"/>
      <c r="N88" s="2"/>
      <c r="O88" s="2"/>
    </row>
    <row r="89">
      <c r="A89" s="60">
        <v>1.0</v>
      </c>
      <c r="B89" s="97" t="s">
        <v>141</v>
      </c>
      <c r="C89" s="9" t="s">
        <v>10</v>
      </c>
      <c r="D89" s="57" t="s">
        <v>142</v>
      </c>
      <c r="E89" s="57" t="s">
        <v>29</v>
      </c>
      <c r="F89" s="98">
        <v>1.87E7</v>
      </c>
      <c r="G89" s="57" t="s">
        <v>143</v>
      </c>
      <c r="H89" s="33" t="s">
        <v>144</v>
      </c>
      <c r="I89" s="2"/>
      <c r="J89" s="2"/>
      <c r="K89" s="2"/>
      <c r="L89" s="2"/>
      <c r="M89" s="2"/>
      <c r="N89" s="2"/>
      <c r="O89" s="2"/>
    </row>
    <row r="90">
      <c r="A90" s="60"/>
      <c r="B90" s="6"/>
      <c r="C90" s="8"/>
      <c r="D90" s="50"/>
      <c r="E90" s="50"/>
      <c r="F90" s="62"/>
      <c r="G90" s="48"/>
      <c r="H90" s="2"/>
      <c r="I90" s="2"/>
      <c r="J90" s="2"/>
      <c r="K90" s="2"/>
      <c r="L90" s="2"/>
      <c r="M90" s="2"/>
      <c r="N90" s="2"/>
      <c r="O90" s="2"/>
    </row>
    <row r="91">
      <c r="G91" s="101"/>
      <c r="H91" s="2"/>
      <c r="I91" s="2"/>
      <c r="J91" s="2"/>
      <c r="K91" s="2"/>
      <c r="L91" s="2"/>
      <c r="M91" s="2"/>
      <c r="N91" s="2"/>
      <c r="O91" s="2"/>
    </row>
    <row r="92">
      <c r="G92" s="2"/>
      <c r="H92" s="2"/>
      <c r="I92" s="2"/>
      <c r="J92" s="2"/>
      <c r="K92" s="2"/>
      <c r="L92" s="2"/>
      <c r="M92" s="2"/>
      <c r="N92" s="2"/>
      <c r="O92" s="2"/>
    </row>
    <row r="93">
      <c r="A93" s="45" t="s">
        <v>0</v>
      </c>
      <c r="B93" s="45" t="s">
        <v>1</v>
      </c>
      <c r="C93" s="46"/>
      <c r="D93" s="45" t="s">
        <v>3</v>
      </c>
      <c r="E93" s="46"/>
      <c r="F93" s="45" t="s">
        <v>5</v>
      </c>
      <c r="G93" s="47" t="s">
        <v>9</v>
      </c>
      <c r="H93" s="2"/>
      <c r="I93" s="2"/>
      <c r="J93" s="2"/>
      <c r="K93" s="2"/>
      <c r="L93" s="2"/>
      <c r="M93" s="2"/>
      <c r="N93" s="2"/>
      <c r="O93" s="2"/>
    </row>
    <row r="94">
      <c r="A94" s="60">
        <v>1.0</v>
      </c>
      <c r="B94" s="97" t="s">
        <v>145</v>
      </c>
      <c r="C94" s="9" t="s">
        <v>10</v>
      </c>
      <c r="D94" s="57" t="s">
        <v>146</v>
      </c>
      <c r="E94" s="57" t="s">
        <v>147</v>
      </c>
      <c r="F94" s="98">
        <v>1.87E7</v>
      </c>
      <c r="G94" s="57" t="s">
        <v>148</v>
      </c>
      <c r="H94" s="2"/>
      <c r="I94" s="2"/>
      <c r="J94" s="2"/>
      <c r="K94" s="2"/>
      <c r="L94" s="2"/>
      <c r="M94" s="2"/>
      <c r="N94" s="2"/>
      <c r="O94" s="2"/>
    </row>
    <row r="95">
      <c r="A95" s="77">
        <v>2.0</v>
      </c>
      <c r="B95" s="97" t="s">
        <v>149</v>
      </c>
      <c r="C95" s="9" t="s">
        <v>10</v>
      </c>
      <c r="D95" s="57" t="s">
        <v>150</v>
      </c>
      <c r="E95" s="57" t="s">
        <v>147</v>
      </c>
      <c r="F95" s="98">
        <v>1.87E7</v>
      </c>
      <c r="G95" s="57" t="s">
        <v>151</v>
      </c>
      <c r="H95" s="2"/>
      <c r="I95" s="2"/>
      <c r="J95" s="2"/>
      <c r="K95" s="2"/>
      <c r="L95" s="2"/>
      <c r="M95" s="2"/>
      <c r="N95" s="2"/>
      <c r="O95" s="2"/>
    </row>
    <row r="96">
      <c r="G96" s="2"/>
      <c r="H96" s="2"/>
      <c r="I96" s="2"/>
      <c r="J96" s="2"/>
      <c r="K96" s="2"/>
      <c r="L96" s="2"/>
      <c r="M96" s="2"/>
      <c r="N96" s="2"/>
      <c r="O96" s="2"/>
    </row>
    <row r="97">
      <c r="A97" s="45" t="s">
        <v>0</v>
      </c>
      <c r="B97" s="45" t="s">
        <v>1</v>
      </c>
      <c r="C97" s="46"/>
      <c r="D97" s="45" t="s">
        <v>3</v>
      </c>
      <c r="E97" s="108"/>
      <c r="F97" s="1" t="s">
        <v>5</v>
      </c>
      <c r="G97" s="47" t="s">
        <v>9</v>
      </c>
      <c r="H97" s="2"/>
      <c r="I97" s="2"/>
      <c r="J97" s="2"/>
      <c r="K97" s="2"/>
      <c r="L97" s="2"/>
      <c r="M97" s="2"/>
      <c r="N97" s="2"/>
      <c r="O97" s="2"/>
    </row>
    <row r="98">
      <c r="A98" s="60">
        <v>1.0</v>
      </c>
      <c r="B98" s="109" t="s">
        <v>152</v>
      </c>
      <c r="C98" s="110" t="s">
        <v>10</v>
      </c>
      <c r="D98" s="111" t="s">
        <v>153</v>
      </c>
      <c r="E98" s="57" t="s">
        <v>154</v>
      </c>
      <c r="F98" s="98">
        <v>1.87E7</v>
      </c>
      <c r="G98" s="57" t="s">
        <v>155</v>
      </c>
      <c r="H98" s="2"/>
      <c r="I98" s="2"/>
      <c r="J98" s="2"/>
      <c r="K98" s="2"/>
      <c r="L98" s="2"/>
      <c r="M98" s="2"/>
      <c r="N98" s="2"/>
      <c r="O98" s="2"/>
    </row>
    <row r="99">
      <c r="A99" s="77">
        <v>2.0</v>
      </c>
      <c r="B99" s="109" t="s">
        <v>156</v>
      </c>
      <c r="C99" s="110" t="s">
        <v>10</v>
      </c>
      <c r="D99" s="112" t="s">
        <v>157</v>
      </c>
      <c r="E99" s="57" t="s">
        <v>154</v>
      </c>
      <c r="F99" s="98">
        <v>1.87E7</v>
      </c>
      <c r="G99" s="57" t="s">
        <v>158</v>
      </c>
      <c r="H99" s="2"/>
      <c r="I99" s="2"/>
      <c r="J99" s="2"/>
      <c r="K99" s="2"/>
      <c r="L99" s="2"/>
      <c r="M99" s="2"/>
      <c r="N99" s="2"/>
      <c r="O99" s="2"/>
    </row>
    <row r="100">
      <c r="A100" s="57">
        <v>3.0</v>
      </c>
      <c r="B100" s="109" t="s">
        <v>159</v>
      </c>
      <c r="C100" s="110" t="s">
        <v>10</v>
      </c>
      <c r="D100" s="62" t="s">
        <v>160</v>
      </c>
      <c r="E100" s="57" t="s">
        <v>154</v>
      </c>
      <c r="F100" s="98">
        <v>1.87E7</v>
      </c>
      <c r="G100" s="57" t="s">
        <v>158</v>
      </c>
      <c r="H100" s="2"/>
      <c r="I100" s="2"/>
      <c r="J100" s="2"/>
      <c r="K100" s="2"/>
      <c r="L100" s="2"/>
      <c r="M100" s="2"/>
      <c r="N100" s="2"/>
      <c r="O100" s="2"/>
    </row>
    <row r="101">
      <c r="A101" s="57">
        <v>4.0</v>
      </c>
      <c r="B101" s="109" t="s">
        <v>161</v>
      </c>
      <c r="C101" s="110" t="s">
        <v>10</v>
      </c>
      <c r="D101" s="62" t="s">
        <v>162</v>
      </c>
      <c r="E101" s="57" t="s">
        <v>154</v>
      </c>
      <c r="F101" s="98">
        <v>1.87E7</v>
      </c>
      <c r="G101" s="57" t="s">
        <v>158</v>
      </c>
      <c r="H101" s="2"/>
      <c r="I101" s="2"/>
      <c r="J101" s="2"/>
      <c r="K101" s="2"/>
      <c r="L101" s="2"/>
      <c r="M101" s="2"/>
      <c r="N101" s="2"/>
      <c r="O101" s="2"/>
    </row>
    <row r="102">
      <c r="A102" s="57">
        <v>5.0</v>
      </c>
      <c r="B102" s="109" t="s">
        <v>163</v>
      </c>
      <c r="C102" s="110" t="s">
        <v>10</v>
      </c>
      <c r="D102" s="50" t="s">
        <v>162</v>
      </c>
      <c r="E102" s="57" t="s">
        <v>154</v>
      </c>
      <c r="F102" s="98">
        <v>1.87E7</v>
      </c>
      <c r="G102" s="57" t="s">
        <v>158</v>
      </c>
      <c r="H102" s="2"/>
      <c r="I102" s="2"/>
      <c r="J102" s="2"/>
      <c r="K102" s="2"/>
      <c r="L102" s="2"/>
      <c r="M102" s="2"/>
      <c r="N102" s="2"/>
      <c r="O102" s="2"/>
    </row>
    <row r="103">
      <c r="A103" s="57">
        <v>6.0</v>
      </c>
      <c r="B103" s="109" t="s">
        <v>164</v>
      </c>
      <c r="C103" s="110" t="s">
        <v>10</v>
      </c>
      <c r="D103" s="62" t="s">
        <v>165</v>
      </c>
      <c r="E103" s="57" t="s">
        <v>154</v>
      </c>
      <c r="F103" s="98">
        <v>1.87E7</v>
      </c>
      <c r="G103" s="57" t="s">
        <v>158</v>
      </c>
      <c r="H103" s="2"/>
      <c r="I103" s="2"/>
      <c r="J103" s="2"/>
      <c r="K103" s="2"/>
      <c r="L103" s="2"/>
      <c r="M103" s="2"/>
      <c r="N103" s="2"/>
      <c r="O103" s="2"/>
    </row>
    <row r="104">
      <c r="A104" s="57">
        <v>7.0</v>
      </c>
      <c r="B104" s="109" t="s">
        <v>166</v>
      </c>
      <c r="C104" s="110" t="s">
        <v>10</v>
      </c>
      <c r="D104" s="50" t="s">
        <v>165</v>
      </c>
      <c r="E104" s="57" t="s">
        <v>154</v>
      </c>
      <c r="F104" s="98">
        <v>1.87E7</v>
      </c>
      <c r="G104" s="57" t="s">
        <v>167</v>
      </c>
      <c r="H104" s="2"/>
      <c r="I104" s="2"/>
      <c r="J104" s="2"/>
      <c r="K104" s="2"/>
      <c r="L104" s="2"/>
      <c r="M104" s="2"/>
      <c r="N104" s="2"/>
      <c r="O104" s="2"/>
    </row>
    <row r="105">
      <c r="A105" s="57">
        <v>8.0</v>
      </c>
      <c r="B105" s="109" t="s">
        <v>168</v>
      </c>
      <c r="C105" s="110" t="s">
        <v>10</v>
      </c>
      <c r="D105" s="50" t="s">
        <v>169</v>
      </c>
      <c r="E105" s="57" t="s">
        <v>154</v>
      </c>
      <c r="F105" s="98">
        <v>1.87E7</v>
      </c>
      <c r="G105" s="57" t="s">
        <v>158</v>
      </c>
      <c r="H105" s="2"/>
      <c r="I105" s="2"/>
      <c r="J105" s="2"/>
      <c r="K105" s="2"/>
      <c r="L105" s="2"/>
      <c r="M105" s="2"/>
      <c r="N105" s="2"/>
      <c r="O105" s="2"/>
    </row>
    <row r="106">
      <c r="A106" s="57">
        <v>9.0</v>
      </c>
      <c r="B106" s="109" t="s">
        <v>170</v>
      </c>
      <c r="C106" s="110" t="s">
        <v>10</v>
      </c>
      <c r="D106" s="50" t="s">
        <v>169</v>
      </c>
      <c r="E106" s="57" t="s">
        <v>154</v>
      </c>
      <c r="F106" s="98">
        <v>1.87E7</v>
      </c>
      <c r="G106" s="57" t="s">
        <v>158</v>
      </c>
      <c r="H106" s="2"/>
      <c r="I106" s="2"/>
      <c r="J106" s="2"/>
      <c r="K106" s="2"/>
      <c r="L106" s="2"/>
      <c r="M106" s="2"/>
      <c r="N106" s="2"/>
      <c r="O106" s="2"/>
    </row>
    <row r="107">
      <c r="A107" s="2"/>
      <c r="F107" s="40"/>
      <c r="G107" s="2"/>
      <c r="H107" s="2"/>
      <c r="I107" s="2"/>
      <c r="J107" s="2"/>
      <c r="K107" s="2"/>
      <c r="L107" s="2"/>
      <c r="M107" s="2"/>
      <c r="N107" s="2"/>
      <c r="O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2.75"/>
    <col customWidth="1" min="3" max="3" width="8.5"/>
    <col customWidth="1" min="4" max="4" width="19.88"/>
    <col customWidth="1" min="5" max="5" width="29.13"/>
    <col customWidth="1" hidden="1" min="6" max="6" width="17.38"/>
    <col customWidth="1" min="7" max="7" width="20.88"/>
    <col customWidth="1" min="9" max="9" width="31.88"/>
    <col customWidth="1" min="10" max="10" width="1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9</v>
      </c>
      <c r="H1" s="2"/>
      <c r="I1" s="3" t="s">
        <v>6</v>
      </c>
      <c r="J1" s="3" t="s">
        <v>7</v>
      </c>
      <c r="K1" s="2"/>
      <c r="L1" s="4"/>
      <c r="M1" s="4"/>
      <c r="N1" s="4"/>
      <c r="O1" s="2"/>
    </row>
    <row r="2">
      <c r="A2" s="5">
        <v>1.0</v>
      </c>
      <c r="B2" s="13" t="s">
        <v>14</v>
      </c>
      <c r="C2" s="8" t="s">
        <v>15</v>
      </c>
      <c r="D2" s="16" t="s">
        <v>16</v>
      </c>
      <c r="E2" s="9" t="s">
        <v>12</v>
      </c>
      <c r="F2" s="10">
        <v>2.94E7</v>
      </c>
      <c r="G2" s="17">
        <v>46113.0</v>
      </c>
      <c r="H2" s="11"/>
      <c r="I2" s="12" t="s">
        <v>13</v>
      </c>
      <c r="J2" s="14">
        <v>2.0</v>
      </c>
      <c r="K2" s="11"/>
      <c r="L2" s="11"/>
      <c r="M2" s="15"/>
      <c r="N2" s="11"/>
      <c r="O2" s="2"/>
    </row>
    <row r="3">
      <c r="A3" s="5">
        <v>2.0</v>
      </c>
      <c r="B3" s="13" t="s">
        <v>18</v>
      </c>
      <c r="C3" s="8" t="s">
        <v>15</v>
      </c>
      <c r="D3" s="9" t="s">
        <v>19</v>
      </c>
      <c r="E3" s="9" t="s">
        <v>12</v>
      </c>
      <c r="F3" s="10">
        <v>2.1E7</v>
      </c>
      <c r="G3" s="17">
        <v>46113.0</v>
      </c>
      <c r="H3" s="11"/>
      <c r="I3" s="12" t="s">
        <v>17</v>
      </c>
      <c r="J3" s="14">
        <v>8.0</v>
      </c>
      <c r="K3" s="11"/>
      <c r="L3" s="11"/>
      <c r="M3" s="11"/>
      <c r="N3" s="11"/>
      <c r="O3" s="2"/>
    </row>
    <row r="4">
      <c r="A4" s="5">
        <v>3.0</v>
      </c>
      <c r="B4" s="21" t="s">
        <v>22</v>
      </c>
      <c r="C4" s="8" t="s">
        <v>10</v>
      </c>
      <c r="D4" s="20" t="s">
        <v>19</v>
      </c>
      <c r="E4" s="20" t="s">
        <v>12</v>
      </c>
      <c r="F4" s="10">
        <v>2.1E7</v>
      </c>
      <c r="G4" s="17">
        <v>46113.0</v>
      </c>
      <c r="H4" s="11"/>
      <c r="I4" s="12" t="s">
        <v>20</v>
      </c>
      <c r="J4" s="14">
        <v>7.0</v>
      </c>
      <c r="K4" s="11"/>
      <c r="L4" s="11"/>
      <c r="M4" s="11"/>
      <c r="N4" s="11"/>
      <c r="O4" s="2"/>
    </row>
    <row r="5">
      <c r="A5" s="5">
        <v>4.0</v>
      </c>
      <c r="B5" s="13" t="s">
        <v>24</v>
      </c>
      <c r="C5" s="8" t="s">
        <v>10</v>
      </c>
      <c r="D5" s="9" t="s">
        <v>25</v>
      </c>
      <c r="E5" s="9" t="s">
        <v>12</v>
      </c>
      <c r="F5" s="10">
        <v>2.2E7</v>
      </c>
      <c r="G5" s="25" t="s">
        <v>36</v>
      </c>
      <c r="H5" s="11"/>
      <c r="I5" s="12" t="s">
        <v>23</v>
      </c>
      <c r="J5" s="14">
        <v>1.0</v>
      </c>
      <c r="K5" s="11"/>
      <c r="L5" s="11"/>
      <c r="M5" s="11"/>
      <c r="N5" s="11"/>
      <c r="O5" s="2"/>
    </row>
    <row r="6">
      <c r="A6" s="5">
        <v>5.0</v>
      </c>
      <c r="B6" s="13" t="s">
        <v>28</v>
      </c>
      <c r="C6" s="8" t="s">
        <v>10</v>
      </c>
      <c r="D6" s="9" t="s">
        <v>19</v>
      </c>
      <c r="E6" s="9" t="s">
        <v>12</v>
      </c>
      <c r="F6" s="10">
        <v>2.1E7</v>
      </c>
      <c r="G6" s="17">
        <v>46113.0</v>
      </c>
      <c r="H6" s="11"/>
      <c r="I6" s="22" t="s">
        <v>27</v>
      </c>
      <c r="J6" s="14">
        <v>6.0</v>
      </c>
      <c r="K6" s="11"/>
      <c r="L6" s="11"/>
      <c r="M6" s="11"/>
      <c r="N6" s="11"/>
      <c r="O6" s="2"/>
    </row>
    <row r="7">
      <c r="A7" s="5">
        <v>6.0</v>
      </c>
      <c r="B7" s="6" t="s">
        <v>31</v>
      </c>
      <c r="C7" s="8" t="s">
        <v>15</v>
      </c>
      <c r="D7" s="9" t="s">
        <v>32</v>
      </c>
      <c r="E7" s="8" t="s">
        <v>33</v>
      </c>
      <c r="F7" s="10">
        <v>2.2387E7</v>
      </c>
      <c r="G7" s="29" t="s">
        <v>41</v>
      </c>
      <c r="H7" s="11"/>
      <c r="I7" s="23" t="s">
        <v>29</v>
      </c>
      <c r="J7" s="14">
        <v>1.0</v>
      </c>
      <c r="K7" s="11"/>
      <c r="L7" s="11"/>
      <c r="M7" s="11"/>
      <c r="N7" s="11"/>
      <c r="O7" s="2"/>
    </row>
    <row r="8">
      <c r="A8" s="5">
        <v>7.0</v>
      </c>
      <c r="B8" s="13" t="s">
        <v>35</v>
      </c>
      <c r="C8" s="8" t="s">
        <v>15</v>
      </c>
      <c r="D8" s="20" t="s">
        <v>16</v>
      </c>
      <c r="E8" s="9" t="s">
        <v>12</v>
      </c>
      <c r="F8" s="10">
        <v>2.94E7</v>
      </c>
      <c r="G8" s="17">
        <v>46113.0</v>
      </c>
      <c r="H8" s="11"/>
      <c r="I8" s="23" t="s">
        <v>34</v>
      </c>
      <c r="J8" s="14">
        <v>1.0</v>
      </c>
      <c r="K8" s="11"/>
      <c r="L8" s="11"/>
      <c r="M8" s="11"/>
      <c r="N8" s="11"/>
      <c r="O8" s="2"/>
    </row>
    <row r="9">
      <c r="A9" s="5">
        <v>8.0</v>
      </c>
      <c r="B9" s="26" t="s">
        <v>39</v>
      </c>
      <c r="C9" s="8" t="s">
        <v>10</v>
      </c>
      <c r="D9" s="9" t="s">
        <v>32</v>
      </c>
      <c r="E9" s="8" t="s">
        <v>33</v>
      </c>
      <c r="F9" s="10">
        <v>2.2387E7</v>
      </c>
      <c r="G9" s="37"/>
      <c r="H9" s="11"/>
      <c r="I9" s="23" t="s">
        <v>38</v>
      </c>
      <c r="J9" s="14">
        <v>4.0</v>
      </c>
      <c r="K9" s="11"/>
      <c r="L9" s="11"/>
      <c r="M9" s="11"/>
      <c r="N9" s="11"/>
      <c r="O9" s="2"/>
    </row>
    <row r="10">
      <c r="A10" s="5">
        <v>9.0</v>
      </c>
      <c r="B10" s="34" t="s">
        <v>42</v>
      </c>
      <c r="C10" s="8" t="s">
        <v>10</v>
      </c>
      <c r="D10" s="9" t="s">
        <v>19</v>
      </c>
      <c r="E10" s="9" t="s">
        <v>12</v>
      </c>
      <c r="F10" s="10">
        <v>2.1E7</v>
      </c>
      <c r="G10" s="25" t="s">
        <v>36</v>
      </c>
      <c r="H10" s="11"/>
      <c r="I10" s="23" t="s">
        <v>40</v>
      </c>
      <c r="J10" s="14">
        <v>2.0</v>
      </c>
      <c r="K10" s="28"/>
      <c r="L10" s="28"/>
      <c r="M10" s="28"/>
      <c r="N10" s="28"/>
      <c r="O10" s="2"/>
    </row>
    <row r="11">
      <c r="A11" s="5"/>
      <c r="H11" s="11"/>
      <c r="I11" s="23" t="s">
        <v>43</v>
      </c>
      <c r="J11" s="32">
        <v>12.0</v>
      </c>
      <c r="K11" s="28"/>
      <c r="L11" s="28"/>
      <c r="M11" s="28"/>
      <c r="N11" s="28"/>
      <c r="O11" s="2"/>
    </row>
    <row r="12">
      <c r="A12" s="113"/>
      <c r="H12" s="11"/>
      <c r="I12" s="23" t="s">
        <v>171</v>
      </c>
      <c r="J12" s="32">
        <v>1.0</v>
      </c>
      <c r="K12" s="28"/>
      <c r="L12" s="28"/>
      <c r="M12" s="28"/>
      <c r="N12" s="28"/>
      <c r="O12" s="2"/>
    </row>
    <row r="13">
      <c r="A13" s="2"/>
      <c r="B13" s="33"/>
      <c r="C13" s="33"/>
      <c r="D13" s="2"/>
      <c r="E13" s="2"/>
      <c r="F13" s="35"/>
      <c r="G13" s="2"/>
      <c r="H13" s="11"/>
      <c r="I13" s="23" t="s">
        <v>48</v>
      </c>
      <c r="J13" s="32">
        <v>2.0</v>
      </c>
      <c r="K13" s="2"/>
      <c r="L13" s="2"/>
      <c r="M13" s="2"/>
      <c r="N13" s="2"/>
      <c r="O13" s="2"/>
    </row>
    <row r="14">
      <c r="A14" s="2"/>
      <c r="B14" s="33"/>
      <c r="C14" s="33"/>
      <c r="D14" s="2"/>
      <c r="E14" s="2"/>
      <c r="F14" s="35"/>
      <c r="G14" s="2"/>
      <c r="H14" s="11"/>
      <c r="I14" s="23" t="s">
        <v>49</v>
      </c>
      <c r="J14" s="32">
        <v>9.0</v>
      </c>
      <c r="K14" s="2"/>
      <c r="L14" s="2"/>
      <c r="M14" s="2"/>
      <c r="N14" s="2"/>
      <c r="O14" s="2"/>
    </row>
    <row r="15">
      <c r="A15" s="2"/>
      <c r="B15" s="33" t="s">
        <v>44</v>
      </c>
      <c r="C15" s="33">
        <v>4.0</v>
      </c>
      <c r="D15" s="2"/>
      <c r="E15" s="33" t="s">
        <v>50</v>
      </c>
      <c r="F15" s="35"/>
      <c r="G15" s="2"/>
      <c r="H15" s="11"/>
      <c r="I15" s="38" t="s">
        <v>46</v>
      </c>
      <c r="J15" s="43">
        <f>SUM(J2:J14)</f>
        <v>56</v>
      </c>
      <c r="K15" s="2"/>
      <c r="L15" s="2"/>
      <c r="M15" s="2"/>
      <c r="N15" s="2"/>
      <c r="O15" s="2"/>
    </row>
    <row r="16">
      <c r="A16" s="44"/>
      <c r="B16" s="44"/>
      <c r="C16" s="44"/>
      <c r="D16" s="2"/>
      <c r="E16" s="2"/>
      <c r="F16" s="2"/>
      <c r="G16" s="2"/>
      <c r="H16" s="11"/>
      <c r="K16" s="2"/>
      <c r="L16" s="2"/>
      <c r="M16" s="2"/>
      <c r="N16" s="2"/>
      <c r="O16" s="2"/>
    </row>
    <row r="17">
      <c r="A17" s="44"/>
      <c r="B17" s="44"/>
      <c r="C17" s="44"/>
      <c r="D17" s="2"/>
      <c r="E17" s="2"/>
      <c r="F17" s="2"/>
      <c r="G17" s="2"/>
      <c r="H17" s="11"/>
      <c r="I17" s="2"/>
      <c r="J17" s="2"/>
      <c r="K17" s="2"/>
      <c r="L17" s="2"/>
      <c r="M17" s="2"/>
      <c r="N17" s="2"/>
      <c r="O17" s="2"/>
    </row>
    <row r="18">
      <c r="A18" s="44"/>
      <c r="B18" s="44"/>
      <c r="C18" s="44"/>
      <c r="D18" s="2"/>
      <c r="E18" s="2"/>
      <c r="F18" s="2"/>
      <c r="G18" s="2"/>
      <c r="H18" s="11"/>
      <c r="K18" s="2"/>
      <c r="L18" s="2"/>
      <c r="M18" s="2"/>
      <c r="N18" s="2"/>
      <c r="O18" s="2"/>
    </row>
    <row r="19">
      <c r="A19" s="45" t="s">
        <v>0</v>
      </c>
      <c r="B19" s="45" t="s">
        <v>1</v>
      </c>
      <c r="C19" s="45" t="s">
        <v>2</v>
      </c>
      <c r="D19" s="45" t="s">
        <v>3</v>
      </c>
      <c r="E19" s="46"/>
      <c r="F19" s="45" t="s">
        <v>5</v>
      </c>
      <c r="G19" s="47" t="s">
        <v>9</v>
      </c>
      <c r="H19" s="11"/>
      <c r="I19" s="44"/>
      <c r="J19" s="2"/>
      <c r="K19" s="2"/>
      <c r="L19" s="2"/>
      <c r="M19" s="2"/>
      <c r="N19" s="2"/>
      <c r="O19" s="2"/>
    </row>
    <row r="20">
      <c r="A20" s="48">
        <v>1.0</v>
      </c>
      <c r="B20" s="6" t="s">
        <v>51</v>
      </c>
      <c r="C20" s="6" t="s">
        <v>10</v>
      </c>
      <c r="D20" s="49" t="s">
        <v>52</v>
      </c>
      <c r="E20" s="9" t="s">
        <v>53</v>
      </c>
      <c r="F20" s="48" t="s">
        <v>54</v>
      </c>
      <c r="G20" s="50"/>
      <c r="H20" s="11"/>
      <c r="I20" s="51"/>
      <c r="J20" s="2"/>
      <c r="K20" s="2"/>
      <c r="L20" s="2"/>
      <c r="M20" s="2"/>
      <c r="N20" s="2"/>
      <c r="O20" s="2"/>
    </row>
    <row r="21">
      <c r="A21" s="48">
        <v>2.0</v>
      </c>
      <c r="B21" s="26" t="s">
        <v>56</v>
      </c>
      <c r="C21" s="6" t="s">
        <v>10</v>
      </c>
      <c r="D21" s="49" t="s">
        <v>52</v>
      </c>
      <c r="E21" s="9" t="s">
        <v>53</v>
      </c>
      <c r="F21" s="48" t="s">
        <v>54</v>
      </c>
      <c r="G21" s="50"/>
      <c r="H21" s="11"/>
      <c r="I21" s="51"/>
      <c r="J21" s="2"/>
      <c r="K21" s="2"/>
      <c r="L21" s="2"/>
      <c r="M21" s="2"/>
      <c r="N21" s="2"/>
      <c r="O21" s="2"/>
    </row>
    <row r="22">
      <c r="A22" s="48">
        <v>3.0</v>
      </c>
      <c r="B22" s="26" t="s">
        <v>57</v>
      </c>
      <c r="C22" s="6" t="s">
        <v>10</v>
      </c>
      <c r="D22" s="49" t="s">
        <v>52</v>
      </c>
      <c r="E22" s="9" t="s">
        <v>53</v>
      </c>
      <c r="F22" s="48" t="s">
        <v>54</v>
      </c>
      <c r="G22" s="50"/>
      <c r="H22" s="11"/>
      <c r="I22" s="51"/>
      <c r="J22" s="2"/>
      <c r="K22" s="2"/>
      <c r="L22" s="2"/>
      <c r="M22" s="2"/>
      <c r="N22" s="2"/>
      <c r="O22" s="2"/>
    </row>
    <row r="23">
      <c r="A23" s="48">
        <v>4.0</v>
      </c>
      <c r="B23" s="114" t="s">
        <v>58</v>
      </c>
      <c r="C23" s="6" t="s">
        <v>10</v>
      </c>
      <c r="D23" s="49" t="s">
        <v>59</v>
      </c>
      <c r="E23" s="9" t="s">
        <v>53</v>
      </c>
      <c r="F23" s="48" t="s">
        <v>54</v>
      </c>
      <c r="G23" s="50"/>
      <c r="H23" s="11"/>
      <c r="I23" s="53"/>
      <c r="J23" s="2"/>
      <c r="K23" s="2"/>
      <c r="L23" s="2"/>
      <c r="M23" s="2"/>
      <c r="N23" s="2"/>
      <c r="O23" s="2"/>
    </row>
    <row r="24">
      <c r="A24" s="48">
        <v>5.0</v>
      </c>
      <c r="B24" s="24" t="s">
        <v>60</v>
      </c>
      <c r="C24" s="24" t="s">
        <v>10</v>
      </c>
      <c r="D24" s="55" t="s">
        <v>52</v>
      </c>
      <c r="E24" s="56" t="s">
        <v>53</v>
      </c>
      <c r="F24" s="48" t="s">
        <v>54</v>
      </c>
      <c r="G24" s="57" t="s">
        <v>63</v>
      </c>
      <c r="H24" s="11"/>
      <c r="I24" s="58"/>
      <c r="J24" s="2"/>
      <c r="K24" s="2"/>
      <c r="L24" s="2"/>
      <c r="M24" s="2"/>
      <c r="N24" s="2"/>
      <c r="O24" s="2"/>
    </row>
    <row r="25">
      <c r="A25" s="48">
        <v>6.0</v>
      </c>
      <c r="B25" s="26" t="s">
        <v>61</v>
      </c>
      <c r="C25" s="6" t="s">
        <v>10</v>
      </c>
      <c r="D25" s="49" t="s">
        <v>52</v>
      </c>
      <c r="E25" s="9" t="s">
        <v>53</v>
      </c>
      <c r="F25" s="48" t="s">
        <v>54</v>
      </c>
      <c r="G25" s="50"/>
      <c r="H25" s="11"/>
      <c r="I25" s="58"/>
      <c r="J25" s="2"/>
      <c r="K25" s="2"/>
      <c r="L25" s="2"/>
      <c r="M25" s="2"/>
      <c r="N25" s="2"/>
      <c r="O25" s="2"/>
    </row>
    <row r="26">
      <c r="A26" s="48">
        <v>7.0</v>
      </c>
      <c r="B26" s="26" t="s">
        <v>62</v>
      </c>
      <c r="C26" s="6" t="s">
        <v>10</v>
      </c>
      <c r="D26" s="49" t="s">
        <v>52</v>
      </c>
      <c r="E26" s="9" t="s">
        <v>53</v>
      </c>
      <c r="F26" s="48" t="s">
        <v>54</v>
      </c>
      <c r="G26" s="50"/>
      <c r="H26" s="11"/>
      <c r="I26" s="59"/>
      <c r="J26" s="2"/>
      <c r="K26" s="2"/>
      <c r="L26" s="2"/>
      <c r="M26" s="2"/>
      <c r="N26" s="2"/>
      <c r="O26" s="2"/>
    </row>
    <row r="27">
      <c r="A27" s="48">
        <v>8.0</v>
      </c>
      <c r="B27" s="26" t="s">
        <v>64</v>
      </c>
      <c r="C27" s="6" t="s">
        <v>10</v>
      </c>
      <c r="D27" s="49" t="s">
        <v>52</v>
      </c>
      <c r="E27" s="9" t="s">
        <v>53</v>
      </c>
      <c r="F27" s="48" t="s">
        <v>54</v>
      </c>
      <c r="G27" s="50"/>
      <c r="H27" s="11"/>
      <c r="I27" s="59"/>
      <c r="J27" s="2"/>
      <c r="K27" s="2"/>
      <c r="L27" s="2"/>
      <c r="M27" s="2"/>
      <c r="N27" s="2"/>
      <c r="O27" s="2"/>
    </row>
    <row r="28">
      <c r="A28" s="48">
        <v>9.0</v>
      </c>
      <c r="B28" s="26" t="s">
        <v>65</v>
      </c>
      <c r="C28" s="6" t="s">
        <v>10</v>
      </c>
      <c r="D28" s="49" t="s">
        <v>52</v>
      </c>
      <c r="E28" s="9" t="s">
        <v>53</v>
      </c>
      <c r="F28" s="48" t="s">
        <v>54</v>
      </c>
      <c r="G28" s="50"/>
      <c r="H28" s="11"/>
      <c r="I28" s="2"/>
      <c r="J28" s="2"/>
      <c r="K28" s="2"/>
      <c r="L28" s="2"/>
      <c r="M28" s="2"/>
      <c r="N28" s="2"/>
      <c r="O28" s="2"/>
    </row>
    <row r="29">
      <c r="A29" s="48">
        <v>10.0</v>
      </c>
      <c r="B29" s="26" t="s">
        <v>66</v>
      </c>
      <c r="C29" s="6" t="s">
        <v>10</v>
      </c>
      <c r="D29" s="49" t="s">
        <v>52</v>
      </c>
      <c r="E29" s="9" t="s">
        <v>53</v>
      </c>
      <c r="F29" s="48" t="s">
        <v>54</v>
      </c>
      <c r="G29" s="50"/>
      <c r="H29" s="11"/>
      <c r="I29" s="2"/>
      <c r="J29" s="2"/>
      <c r="K29" s="2"/>
      <c r="L29" s="2"/>
      <c r="M29" s="2"/>
      <c r="N29" s="2"/>
      <c r="O29" s="2"/>
    </row>
    <row r="30">
      <c r="A30" s="60">
        <v>11.0</v>
      </c>
      <c r="B30" s="61" t="s">
        <v>67</v>
      </c>
      <c r="C30" s="6" t="s">
        <v>10</v>
      </c>
      <c r="D30" s="49" t="s">
        <v>52</v>
      </c>
      <c r="E30" s="8" t="s">
        <v>53</v>
      </c>
      <c r="F30" s="48" t="s">
        <v>54</v>
      </c>
      <c r="G30" s="50"/>
      <c r="H30" s="11"/>
      <c r="I30" s="2"/>
      <c r="J30" s="2"/>
      <c r="K30" s="2"/>
      <c r="L30" s="2"/>
      <c r="M30" s="2"/>
      <c r="N30" s="2"/>
      <c r="O30" s="2"/>
    </row>
    <row r="31">
      <c r="A31" s="60">
        <v>12.0</v>
      </c>
      <c r="B31" s="6" t="s">
        <v>68</v>
      </c>
      <c r="C31" s="61" t="s">
        <v>10</v>
      </c>
      <c r="D31" s="49" t="s">
        <v>52</v>
      </c>
      <c r="E31" s="8" t="s">
        <v>53</v>
      </c>
      <c r="F31" s="48" t="s">
        <v>54</v>
      </c>
      <c r="G31" s="50"/>
      <c r="H31" s="11"/>
      <c r="I31" s="2"/>
      <c r="J31" s="2"/>
      <c r="K31" s="2"/>
      <c r="L31" s="2"/>
      <c r="M31" s="2"/>
      <c r="N31" s="2"/>
      <c r="O31" s="2"/>
    </row>
    <row r="32">
      <c r="A32" s="77">
        <v>13.0</v>
      </c>
      <c r="B32" s="97" t="s">
        <v>69</v>
      </c>
      <c r="C32" s="61" t="s">
        <v>10</v>
      </c>
      <c r="D32" s="49" t="s">
        <v>52</v>
      </c>
      <c r="E32" s="8" t="s">
        <v>53</v>
      </c>
      <c r="F32" s="48" t="s">
        <v>54</v>
      </c>
      <c r="G32" s="57" t="s">
        <v>173</v>
      </c>
      <c r="H32" s="11"/>
      <c r="I32" s="2"/>
      <c r="J32" s="2"/>
      <c r="K32" s="2"/>
      <c r="L32" s="2"/>
      <c r="M32" s="2"/>
      <c r="N32" s="2"/>
      <c r="O32" s="2"/>
    </row>
    <row r="33">
      <c r="A33" s="102">
        <v>14.0</v>
      </c>
      <c r="B33" s="118" t="s">
        <v>174</v>
      </c>
      <c r="C33" s="61" t="s">
        <v>10</v>
      </c>
      <c r="D33" s="119" t="s">
        <v>176</v>
      </c>
      <c r="E33" s="8" t="s">
        <v>53</v>
      </c>
      <c r="F33" s="73"/>
      <c r="G33" s="102" t="s">
        <v>177</v>
      </c>
      <c r="H33" s="11"/>
      <c r="I33" s="2"/>
      <c r="J33" s="2"/>
      <c r="K33" s="2"/>
      <c r="L33" s="2"/>
      <c r="M33" s="2"/>
      <c r="N33" s="2"/>
      <c r="O33" s="2"/>
    </row>
    <row r="34">
      <c r="H34" s="11"/>
      <c r="I34" s="2"/>
      <c r="J34" s="2"/>
      <c r="K34" s="2"/>
      <c r="L34" s="2"/>
      <c r="M34" s="2"/>
      <c r="N34" s="2"/>
      <c r="O34" s="2"/>
    </row>
    <row r="35">
      <c r="E35" s="70" t="s">
        <v>74</v>
      </c>
      <c r="H35" s="11"/>
      <c r="I35" s="2"/>
      <c r="J35" s="2"/>
      <c r="K35" s="2"/>
      <c r="L35" s="2"/>
      <c r="M35" s="2"/>
      <c r="N35" s="2"/>
      <c r="O35" s="2"/>
    </row>
    <row r="36">
      <c r="H36" s="11"/>
      <c r="I36" s="2"/>
      <c r="J36" s="2"/>
      <c r="K36" s="2"/>
      <c r="L36" s="2"/>
      <c r="M36" s="2"/>
      <c r="N36" s="2"/>
      <c r="O36" s="2"/>
    </row>
    <row r="37">
      <c r="A37" s="45" t="s">
        <v>0</v>
      </c>
      <c r="B37" s="45" t="s">
        <v>1</v>
      </c>
      <c r="C37" s="45" t="s">
        <v>2</v>
      </c>
      <c r="D37" s="45" t="s">
        <v>3</v>
      </c>
      <c r="E37" s="46"/>
      <c r="F37" s="45" t="s">
        <v>5</v>
      </c>
      <c r="G37" s="47" t="s">
        <v>9</v>
      </c>
      <c r="H37" s="11"/>
      <c r="I37" s="2"/>
      <c r="J37" s="2"/>
      <c r="K37" s="2"/>
      <c r="L37" s="2"/>
      <c r="M37" s="2"/>
      <c r="N37" s="2"/>
      <c r="O37" s="2"/>
    </row>
    <row r="38">
      <c r="A38" s="48">
        <v>1.0</v>
      </c>
      <c r="B38" s="26" t="s">
        <v>71</v>
      </c>
      <c r="C38" s="26" t="s">
        <v>15</v>
      </c>
      <c r="D38" s="50" t="s">
        <v>72</v>
      </c>
      <c r="E38" s="57" t="s">
        <v>77</v>
      </c>
      <c r="F38" s="71">
        <v>2.0E7</v>
      </c>
      <c r="G38" s="73"/>
      <c r="H38" s="11"/>
      <c r="I38" s="2"/>
      <c r="J38" s="2"/>
      <c r="K38" s="2"/>
      <c r="L38" s="2"/>
      <c r="M38" s="2"/>
      <c r="N38" s="2"/>
      <c r="O38" s="2"/>
    </row>
    <row r="39">
      <c r="A39" s="48">
        <v>2.0</v>
      </c>
      <c r="B39" s="26" t="s">
        <v>75</v>
      </c>
      <c r="C39" s="26" t="s">
        <v>15</v>
      </c>
      <c r="D39" s="50" t="s">
        <v>72</v>
      </c>
      <c r="E39" s="57" t="s">
        <v>79</v>
      </c>
      <c r="F39" s="71">
        <v>2.0E7</v>
      </c>
      <c r="G39" s="73"/>
      <c r="H39" s="11"/>
      <c r="I39" s="2"/>
      <c r="J39" s="2"/>
      <c r="K39" s="2"/>
      <c r="L39" s="2"/>
      <c r="M39" s="2"/>
      <c r="N39" s="2"/>
      <c r="O39" s="2"/>
    </row>
    <row r="40">
      <c r="A40" s="48">
        <v>3.0</v>
      </c>
      <c r="B40" s="26" t="s">
        <v>76</v>
      </c>
      <c r="C40" s="26" t="s">
        <v>15</v>
      </c>
      <c r="D40" s="50" t="s">
        <v>72</v>
      </c>
      <c r="E40" s="57" t="s">
        <v>79</v>
      </c>
      <c r="F40" s="71">
        <v>2.0E7</v>
      </c>
      <c r="G40" s="50"/>
      <c r="H40" s="11"/>
      <c r="I40" s="2"/>
      <c r="J40" s="2"/>
      <c r="K40" s="2"/>
      <c r="L40" s="2"/>
      <c r="M40" s="2"/>
      <c r="N40" s="2"/>
      <c r="O40" s="2"/>
    </row>
    <row r="41">
      <c r="A41" s="48">
        <v>4.0</v>
      </c>
      <c r="B41" s="72" t="s">
        <v>78</v>
      </c>
      <c r="C41" s="26" t="s">
        <v>15</v>
      </c>
      <c r="D41" s="50" t="s">
        <v>72</v>
      </c>
      <c r="E41" s="57" t="s">
        <v>77</v>
      </c>
      <c r="F41" s="71">
        <v>2.0E7</v>
      </c>
      <c r="G41" s="50"/>
      <c r="H41" s="11"/>
      <c r="I41" s="2"/>
      <c r="J41" s="2"/>
      <c r="K41" s="2"/>
      <c r="L41" s="2"/>
      <c r="M41" s="2"/>
      <c r="N41" s="2"/>
      <c r="O41" s="2"/>
    </row>
    <row r="42">
      <c r="A42" s="77">
        <v>5.0</v>
      </c>
      <c r="B42" s="6" t="s">
        <v>83</v>
      </c>
      <c r="C42" s="26" t="s">
        <v>15</v>
      </c>
      <c r="D42" s="50" t="s">
        <v>81</v>
      </c>
      <c r="E42" s="50" t="s">
        <v>84</v>
      </c>
      <c r="F42" s="75"/>
      <c r="G42" s="50"/>
      <c r="H42" s="11"/>
      <c r="I42" s="2"/>
      <c r="J42" s="2"/>
      <c r="K42" s="2"/>
      <c r="L42" s="2"/>
      <c r="M42" s="2"/>
      <c r="N42" s="2"/>
      <c r="O42" s="2"/>
    </row>
    <row r="43">
      <c r="A43" s="77">
        <v>6.0</v>
      </c>
      <c r="B43" s="6" t="s">
        <v>85</v>
      </c>
      <c r="C43" s="8" t="s">
        <v>10</v>
      </c>
      <c r="D43" s="50" t="s">
        <v>81</v>
      </c>
      <c r="E43" s="50" t="s">
        <v>84</v>
      </c>
      <c r="F43" s="75"/>
      <c r="G43" s="50"/>
      <c r="H43" s="11"/>
      <c r="I43" s="2"/>
      <c r="J43" s="2"/>
      <c r="K43" s="2"/>
      <c r="L43" s="2"/>
      <c r="M43" s="2"/>
      <c r="N43" s="2"/>
      <c r="O43" s="2"/>
    </row>
    <row r="44">
      <c r="B44" s="33"/>
      <c r="C44" s="33"/>
      <c r="G44" s="44"/>
      <c r="H44" s="28"/>
      <c r="I44" s="44"/>
      <c r="J44" s="44"/>
      <c r="K44" s="44"/>
      <c r="L44" s="44"/>
      <c r="M44" s="44"/>
      <c r="N44" s="44"/>
      <c r="O44" s="44"/>
    </row>
    <row r="45">
      <c r="E45" s="70" t="s">
        <v>86</v>
      </c>
      <c r="G45" s="74"/>
      <c r="H45" s="11"/>
      <c r="I45" s="74"/>
      <c r="J45" s="74"/>
      <c r="K45" s="74"/>
      <c r="L45" s="74"/>
      <c r="M45" s="74"/>
      <c r="N45" s="74"/>
      <c r="O45" s="2"/>
    </row>
    <row r="46">
      <c r="G46" s="74"/>
      <c r="H46" s="11"/>
      <c r="I46" s="74"/>
      <c r="J46" s="74"/>
      <c r="K46" s="74"/>
      <c r="L46" s="74"/>
      <c r="M46" s="74"/>
      <c r="N46" s="74"/>
      <c r="O46" s="2"/>
    </row>
    <row r="47">
      <c r="A47" s="45" t="s">
        <v>0</v>
      </c>
      <c r="B47" s="45" t="s">
        <v>1</v>
      </c>
      <c r="C47" s="46"/>
      <c r="D47" s="45" t="s">
        <v>3</v>
      </c>
      <c r="E47" s="46"/>
      <c r="F47" s="45" t="s">
        <v>5</v>
      </c>
      <c r="G47" s="47" t="s">
        <v>9</v>
      </c>
      <c r="H47" s="11"/>
      <c r="I47" s="74"/>
      <c r="J47" s="74"/>
      <c r="K47" s="74"/>
      <c r="L47" s="74"/>
      <c r="M47" s="74"/>
      <c r="N47" s="74"/>
      <c r="O47" s="2"/>
    </row>
    <row r="48">
      <c r="A48" s="48">
        <v>1.0</v>
      </c>
      <c r="B48" s="13" t="s">
        <v>80</v>
      </c>
      <c r="C48" s="9" t="s">
        <v>10</v>
      </c>
      <c r="D48" s="50" t="s">
        <v>81</v>
      </c>
      <c r="E48" s="50" t="s">
        <v>82</v>
      </c>
      <c r="F48" s="79">
        <v>2.185E7</v>
      </c>
      <c r="G48" s="80" t="s">
        <v>180</v>
      </c>
      <c r="H48" s="11"/>
      <c r="I48" s="74"/>
      <c r="J48" s="74"/>
      <c r="K48" s="74"/>
      <c r="L48" s="74"/>
      <c r="M48" s="74"/>
      <c r="N48" s="74"/>
      <c r="O48" s="2"/>
    </row>
    <row r="49">
      <c r="A49" s="2"/>
      <c r="B49" s="33"/>
      <c r="C49" s="33"/>
      <c r="D49" s="2"/>
      <c r="E49" s="2"/>
      <c r="F49" s="2"/>
      <c r="G49" s="2"/>
      <c r="H49" s="11"/>
      <c r="I49" s="2"/>
      <c r="J49" s="2"/>
      <c r="K49" s="2"/>
      <c r="L49" s="2"/>
      <c r="M49" s="2"/>
      <c r="N49" s="2"/>
      <c r="O49" s="2"/>
    </row>
    <row r="50">
      <c r="A50" s="2"/>
      <c r="B50" s="2"/>
      <c r="C50" s="2"/>
      <c r="D50" s="2"/>
      <c r="E50" s="2"/>
      <c r="F50" s="2"/>
      <c r="G50" s="2"/>
      <c r="H50" s="11"/>
      <c r="I50" s="2"/>
      <c r="J50" s="2"/>
      <c r="K50" s="2"/>
      <c r="L50" s="2"/>
      <c r="M50" s="2"/>
      <c r="N50" s="2"/>
      <c r="O50" s="2"/>
    </row>
    <row r="51">
      <c r="A51" s="2"/>
      <c r="B51" s="2"/>
      <c r="C51" s="2"/>
      <c r="D51" s="2"/>
      <c r="E51" s="2"/>
      <c r="F51" s="2"/>
      <c r="G51" s="2"/>
      <c r="H51" s="11"/>
      <c r="I51" s="2"/>
      <c r="J51" s="2"/>
      <c r="K51" s="2"/>
      <c r="L51" s="2"/>
      <c r="M51" s="2"/>
      <c r="N51" s="2"/>
      <c r="O51" s="2"/>
    </row>
    <row r="52">
      <c r="A52" s="45" t="s">
        <v>0</v>
      </c>
      <c r="B52" s="45" t="s">
        <v>1</v>
      </c>
      <c r="C52" s="46"/>
      <c r="D52" s="45" t="s">
        <v>3</v>
      </c>
      <c r="E52" s="46"/>
      <c r="F52" s="45" t="s">
        <v>5</v>
      </c>
      <c r="G52" s="47" t="s">
        <v>9</v>
      </c>
      <c r="H52" s="11"/>
      <c r="I52" s="2"/>
      <c r="J52" s="2"/>
      <c r="K52" s="2"/>
      <c r="L52" s="2"/>
      <c r="M52" s="2"/>
      <c r="N52" s="2"/>
      <c r="O52" s="2"/>
    </row>
    <row r="53">
      <c r="A53" s="60">
        <v>1.0</v>
      </c>
      <c r="B53" s="6" t="s">
        <v>87</v>
      </c>
      <c r="C53" s="9" t="s">
        <v>10</v>
      </c>
      <c r="D53" s="50" t="s">
        <v>81</v>
      </c>
      <c r="E53" s="50" t="s">
        <v>88</v>
      </c>
      <c r="F53" s="78">
        <v>4.0E7</v>
      </c>
      <c r="G53" s="83" t="s">
        <v>99</v>
      </c>
      <c r="H53" s="11"/>
      <c r="I53" s="2"/>
      <c r="J53" s="2"/>
      <c r="K53" s="2"/>
      <c r="L53" s="2"/>
      <c r="M53" s="2"/>
      <c r="N53" s="2"/>
      <c r="O53" s="2"/>
    </row>
    <row r="54">
      <c r="A54" s="54">
        <v>2.0</v>
      </c>
      <c r="B54" s="24" t="s">
        <v>89</v>
      </c>
      <c r="C54" s="56" t="s">
        <v>10</v>
      </c>
      <c r="D54" s="56" t="s">
        <v>90</v>
      </c>
      <c r="E54" s="56" t="s">
        <v>91</v>
      </c>
      <c r="F54" s="62"/>
      <c r="G54" s="84" t="s">
        <v>102</v>
      </c>
      <c r="H54" s="11"/>
      <c r="I54" s="2"/>
      <c r="J54" s="2"/>
      <c r="K54" s="2"/>
      <c r="L54" s="2"/>
      <c r="M54" s="2"/>
      <c r="N54" s="2"/>
      <c r="O54" s="2"/>
    </row>
    <row r="55">
      <c r="A55" s="60">
        <v>3.0</v>
      </c>
      <c r="B55" s="13" t="s">
        <v>92</v>
      </c>
      <c r="C55" s="8" t="s">
        <v>10</v>
      </c>
      <c r="D55" s="8" t="s">
        <v>90</v>
      </c>
      <c r="E55" s="8" t="s">
        <v>91</v>
      </c>
      <c r="F55" s="62"/>
      <c r="G55" s="84" t="s">
        <v>182</v>
      </c>
      <c r="H55" s="11"/>
      <c r="I55" s="74"/>
      <c r="J55" s="74"/>
      <c r="K55" s="74"/>
      <c r="L55" s="74"/>
      <c r="M55" s="74"/>
      <c r="N55" s="74"/>
      <c r="O55" s="2"/>
    </row>
    <row r="56">
      <c r="A56" s="60">
        <v>4.0</v>
      </c>
      <c r="B56" s="13" t="s">
        <v>94</v>
      </c>
      <c r="C56" s="8" t="s">
        <v>10</v>
      </c>
      <c r="D56" s="8" t="s">
        <v>90</v>
      </c>
      <c r="E56" s="8" t="s">
        <v>91</v>
      </c>
      <c r="F56" s="62"/>
      <c r="G56" s="84" t="s">
        <v>182</v>
      </c>
      <c r="H56" s="11"/>
      <c r="I56" s="74"/>
      <c r="J56" s="74"/>
      <c r="K56" s="74"/>
      <c r="L56" s="74"/>
      <c r="M56" s="74"/>
      <c r="N56" s="74"/>
      <c r="O56" s="2"/>
    </row>
    <row r="57">
      <c r="A57" s="60">
        <v>5.0</v>
      </c>
      <c r="B57" s="6" t="s">
        <v>95</v>
      </c>
      <c r="C57" s="8" t="s">
        <v>10</v>
      </c>
      <c r="D57" s="8" t="s">
        <v>25</v>
      </c>
      <c r="E57" s="8" t="s">
        <v>96</v>
      </c>
      <c r="F57" s="82"/>
      <c r="G57" s="83" t="s">
        <v>99</v>
      </c>
      <c r="H57" s="11"/>
      <c r="I57" s="2"/>
      <c r="J57" s="2"/>
      <c r="K57" s="2"/>
      <c r="L57" s="2"/>
      <c r="M57" s="2"/>
      <c r="N57" s="2"/>
      <c r="O57" s="2"/>
    </row>
    <row r="58">
      <c r="A58" s="48">
        <v>6.0</v>
      </c>
      <c r="B58" s="122" t="s">
        <v>97</v>
      </c>
      <c r="C58" s="50" t="s">
        <v>10</v>
      </c>
      <c r="D58" s="8" t="s">
        <v>90</v>
      </c>
      <c r="E58" s="8" t="s">
        <v>91</v>
      </c>
      <c r="F58" s="50"/>
      <c r="G58" s="84" t="s">
        <v>182</v>
      </c>
      <c r="H58" s="11"/>
      <c r="I58" s="2"/>
      <c r="J58" s="2"/>
      <c r="K58" s="2"/>
      <c r="L58" s="2"/>
      <c r="M58" s="2"/>
      <c r="N58" s="2"/>
      <c r="O58" s="2"/>
    </row>
    <row r="59">
      <c r="A59" s="48">
        <v>7.0</v>
      </c>
      <c r="B59" s="122" t="s">
        <v>98</v>
      </c>
      <c r="C59" s="50" t="s">
        <v>10</v>
      </c>
      <c r="D59" s="8" t="s">
        <v>90</v>
      </c>
      <c r="E59" s="8" t="s">
        <v>91</v>
      </c>
      <c r="F59" s="50"/>
      <c r="G59" s="84" t="s">
        <v>182</v>
      </c>
      <c r="H59" s="11"/>
      <c r="I59" s="2"/>
      <c r="J59" s="2"/>
      <c r="K59" s="2"/>
      <c r="L59" s="2"/>
      <c r="M59" s="2"/>
      <c r="N59" s="2"/>
      <c r="O59" s="2"/>
    </row>
    <row r="60">
      <c r="A60" s="57">
        <v>8.0</v>
      </c>
      <c r="B60" s="86" t="s">
        <v>100</v>
      </c>
      <c r="C60" s="87" t="s">
        <v>10</v>
      </c>
      <c r="D60" s="88" t="s">
        <v>104</v>
      </c>
      <c r="E60" s="88" t="s">
        <v>101</v>
      </c>
      <c r="F60" s="50"/>
      <c r="G60" s="57" t="s">
        <v>105</v>
      </c>
      <c r="H60" s="89">
        <v>46173.0</v>
      </c>
      <c r="I60" s="2"/>
      <c r="J60" s="2"/>
      <c r="K60" s="2"/>
      <c r="L60" s="2"/>
      <c r="M60" s="2"/>
      <c r="N60" s="2"/>
      <c r="O60" s="2"/>
    </row>
    <row r="61">
      <c r="G61" s="44"/>
      <c r="H61" s="11"/>
      <c r="I61" s="2"/>
      <c r="J61" s="2"/>
      <c r="K61" s="2"/>
      <c r="L61" s="2"/>
      <c r="M61" s="2"/>
      <c r="N61" s="2"/>
      <c r="O61" s="2"/>
    </row>
    <row r="62">
      <c r="E62" s="70" t="s">
        <v>106</v>
      </c>
      <c r="G62" s="85"/>
      <c r="H62" s="11"/>
      <c r="I62" s="85"/>
      <c r="J62" s="85"/>
      <c r="K62" s="85"/>
      <c r="L62" s="85"/>
      <c r="M62" s="85"/>
      <c r="N62" s="85"/>
      <c r="O62" s="2"/>
    </row>
    <row r="63">
      <c r="H63" s="2"/>
      <c r="I63" s="2"/>
      <c r="J63" s="2"/>
      <c r="K63" s="2"/>
      <c r="L63" s="2"/>
      <c r="M63" s="2"/>
      <c r="N63" s="2"/>
      <c r="O63" s="2"/>
    </row>
    <row r="64">
      <c r="A64" s="45" t="s">
        <v>0</v>
      </c>
      <c r="B64" s="45" t="s">
        <v>1</v>
      </c>
      <c r="C64" s="46"/>
      <c r="D64" s="45" t="s">
        <v>3</v>
      </c>
      <c r="E64" s="46"/>
      <c r="F64" s="45" t="s">
        <v>5</v>
      </c>
      <c r="G64" s="47" t="s">
        <v>9</v>
      </c>
      <c r="H64" s="2"/>
      <c r="I64" s="2"/>
      <c r="J64" s="2"/>
      <c r="K64" s="2"/>
      <c r="L64" s="2"/>
      <c r="M64" s="2"/>
      <c r="N64" s="2"/>
      <c r="O64" s="2"/>
    </row>
    <row r="65">
      <c r="A65" s="60">
        <v>1.0</v>
      </c>
      <c r="B65" s="6" t="s">
        <v>107</v>
      </c>
      <c r="C65" s="9" t="s">
        <v>10</v>
      </c>
      <c r="D65" s="57" t="s">
        <v>109</v>
      </c>
      <c r="E65" s="57" t="s">
        <v>23</v>
      </c>
      <c r="F65" s="37"/>
      <c r="G65" s="83" t="s">
        <v>99</v>
      </c>
      <c r="H65" s="2"/>
      <c r="I65" s="2"/>
      <c r="J65" s="2"/>
      <c r="K65" s="2"/>
      <c r="L65" s="2"/>
      <c r="M65" s="2"/>
      <c r="N65" s="2"/>
      <c r="O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>
      <c r="G67" s="2"/>
      <c r="H67" s="2"/>
      <c r="I67" s="2"/>
      <c r="J67" s="2"/>
      <c r="K67" s="2"/>
      <c r="L67" s="2"/>
      <c r="M67" s="2"/>
      <c r="N67" s="2"/>
      <c r="O67" s="2"/>
    </row>
    <row r="68">
      <c r="A68" s="45" t="s">
        <v>0</v>
      </c>
      <c r="B68" s="45" t="s">
        <v>1</v>
      </c>
      <c r="C68" s="46"/>
      <c r="D68" s="45" t="s">
        <v>3</v>
      </c>
      <c r="E68" s="46"/>
      <c r="F68" s="45" t="s">
        <v>5</v>
      </c>
      <c r="G68" s="47" t="s">
        <v>9</v>
      </c>
      <c r="H68" s="2"/>
      <c r="I68" s="2"/>
      <c r="J68" s="2"/>
      <c r="K68" s="2"/>
      <c r="L68" s="2"/>
      <c r="M68" s="2"/>
      <c r="N68" s="2"/>
      <c r="O68" s="2"/>
    </row>
    <row r="69">
      <c r="A69" s="60">
        <v>1.0</v>
      </c>
      <c r="B69" s="6" t="s">
        <v>110</v>
      </c>
      <c r="C69" s="9" t="s">
        <v>10</v>
      </c>
      <c r="D69" s="57" t="s">
        <v>113</v>
      </c>
      <c r="E69" s="50" t="s">
        <v>20</v>
      </c>
      <c r="F69" s="37"/>
      <c r="G69" s="57" t="s">
        <v>115</v>
      </c>
      <c r="H69" s="2"/>
      <c r="I69" s="2"/>
      <c r="J69" s="2"/>
      <c r="K69" s="2"/>
      <c r="L69" s="2"/>
      <c r="M69" s="2"/>
      <c r="N69" s="2"/>
      <c r="O69" s="2"/>
    </row>
    <row r="70">
      <c r="A70" s="60">
        <v>2.0</v>
      </c>
      <c r="B70" s="61" t="s">
        <v>112</v>
      </c>
      <c r="C70" s="8" t="s">
        <v>10</v>
      </c>
      <c r="D70" s="57" t="s">
        <v>113</v>
      </c>
      <c r="E70" s="50" t="s">
        <v>20</v>
      </c>
      <c r="F70" s="62"/>
      <c r="G70" s="57" t="s">
        <v>115</v>
      </c>
      <c r="H70" s="2"/>
      <c r="I70" s="2"/>
      <c r="J70" s="2"/>
      <c r="K70" s="2"/>
      <c r="L70" s="2"/>
      <c r="M70" s="2"/>
      <c r="N70" s="2"/>
      <c r="O70" s="2"/>
    </row>
    <row r="71">
      <c r="A71" s="48">
        <v>3.0</v>
      </c>
      <c r="B71" s="93" t="s">
        <v>116</v>
      </c>
      <c r="C71" s="9" t="s">
        <v>10</v>
      </c>
      <c r="D71" s="50" t="s">
        <v>117</v>
      </c>
      <c r="E71" s="50" t="s">
        <v>20</v>
      </c>
      <c r="F71" s="50"/>
      <c r="G71" s="94">
        <v>46196.0</v>
      </c>
      <c r="H71" s="33"/>
      <c r="I71" s="2"/>
      <c r="J71" s="2"/>
      <c r="K71" s="2"/>
      <c r="L71" s="2"/>
      <c r="M71" s="2"/>
      <c r="N71" s="2"/>
      <c r="O71" s="2"/>
    </row>
    <row r="72">
      <c r="A72" s="60">
        <v>4.0</v>
      </c>
      <c r="B72" s="92" t="s">
        <v>119</v>
      </c>
      <c r="C72" s="8" t="s">
        <v>10</v>
      </c>
      <c r="D72" s="57" t="s">
        <v>113</v>
      </c>
      <c r="E72" s="50" t="s">
        <v>20</v>
      </c>
      <c r="F72" s="50"/>
      <c r="G72" s="57" t="s">
        <v>115</v>
      </c>
      <c r="H72" s="33"/>
      <c r="I72" s="2"/>
      <c r="J72" s="2"/>
      <c r="K72" s="2"/>
      <c r="L72" s="2"/>
      <c r="M72" s="2"/>
      <c r="N72" s="2"/>
      <c r="O72" s="2"/>
    </row>
    <row r="73">
      <c r="A73" s="48">
        <v>5.0</v>
      </c>
      <c r="B73" s="95" t="s">
        <v>120</v>
      </c>
      <c r="C73" s="9" t="s">
        <v>10</v>
      </c>
      <c r="D73" s="50" t="s">
        <v>117</v>
      </c>
      <c r="E73" s="50" t="s">
        <v>20</v>
      </c>
      <c r="F73" s="50"/>
      <c r="G73" s="94">
        <v>46203.0</v>
      </c>
      <c r="H73" s="33"/>
      <c r="I73" s="2"/>
      <c r="J73" s="2"/>
      <c r="K73" s="2"/>
      <c r="L73" s="2"/>
      <c r="M73" s="2"/>
      <c r="N73" s="2"/>
      <c r="O73" s="2"/>
    </row>
    <row r="74">
      <c r="A74" s="60">
        <v>6.0</v>
      </c>
      <c r="B74" s="72" t="s">
        <v>121</v>
      </c>
      <c r="C74" s="8" t="s">
        <v>10</v>
      </c>
      <c r="D74" s="50" t="s">
        <v>117</v>
      </c>
      <c r="E74" s="50" t="s">
        <v>20</v>
      </c>
      <c r="F74" s="50"/>
      <c r="G74" s="94">
        <v>46203.0</v>
      </c>
      <c r="H74" s="33"/>
      <c r="I74" s="2"/>
      <c r="J74" s="2"/>
      <c r="K74" s="2"/>
      <c r="L74" s="2"/>
      <c r="M74" s="2"/>
      <c r="N74" s="2"/>
      <c r="O74" s="2"/>
    </row>
    <row r="75">
      <c r="A75" s="48">
        <v>7.0</v>
      </c>
      <c r="B75" s="128" t="s">
        <v>122</v>
      </c>
      <c r="C75" s="115" t="s">
        <v>10</v>
      </c>
      <c r="D75" s="129" t="s">
        <v>111</v>
      </c>
      <c r="E75" s="129" t="s">
        <v>20</v>
      </c>
      <c r="F75" s="129"/>
      <c r="G75" s="130" t="s">
        <v>123</v>
      </c>
      <c r="H75" s="33" t="s">
        <v>124</v>
      </c>
      <c r="I75" s="2"/>
      <c r="J75" s="2"/>
      <c r="K75" s="2"/>
      <c r="L75" s="2"/>
      <c r="M75" s="2"/>
      <c r="N75" s="2"/>
      <c r="O75" s="2"/>
    </row>
    <row r="76">
      <c r="A76" s="50"/>
      <c r="B76" s="50"/>
      <c r="C76" s="50"/>
      <c r="D76" s="50"/>
      <c r="E76" s="50"/>
      <c r="F76" s="50"/>
      <c r="G76" s="50"/>
      <c r="H76" s="2"/>
      <c r="I76" s="2"/>
      <c r="J76" s="2"/>
      <c r="K76" s="2"/>
      <c r="L76" s="2"/>
      <c r="M76" s="2"/>
      <c r="N76" s="2"/>
      <c r="O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>
      <c r="A78" s="44"/>
      <c r="B78" s="44"/>
      <c r="C78" s="44"/>
      <c r="D78" s="44"/>
      <c r="E78" s="99" t="s">
        <v>127</v>
      </c>
      <c r="F78" s="44"/>
      <c r="G78" s="2"/>
      <c r="H78" s="2"/>
      <c r="I78" s="2"/>
      <c r="J78" s="2"/>
      <c r="K78" s="2"/>
      <c r="L78" s="2"/>
      <c r="M78" s="2"/>
      <c r="N78" s="2"/>
      <c r="O78" s="2"/>
    </row>
    <row r="79">
      <c r="A79" s="44"/>
      <c r="B79" s="44"/>
      <c r="C79" s="44"/>
      <c r="D79" s="44"/>
      <c r="E79" s="44"/>
      <c r="F79" s="44"/>
      <c r="G79" s="2"/>
      <c r="H79" s="2"/>
      <c r="I79" s="2"/>
      <c r="J79" s="2"/>
      <c r="K79" s="2"/>
      <c r="L79" s="2"/>
      <c r="M79" s="2"/>
      <c r="N79" s="2"/>
      <c r="O79" s="2"/>
    </row>
    <row r="80">
      <c r="A80" s="45" t="s">
        <v>0</v>
      </c>
      <c r="B80" s="45" t="s">
        <v>1</v>
      </c>
      <c r="C80" s="46"/>
      <c r="D80" s="45" t="s">
        <v>3</v>
      </c>
      <c r="E80" s="46"/>
      <c r="F80" s="45" t="s">
        <v>5</v>
      </c>
      <c r="G80" s="47" t="s">
        <v>9</v>
      </c>
      <c r="H80" s="2"/>
      <c r="I80" s="2"/>
      <c r="J80" s="2"/>
      <c r="K80" s="2"/>
      <c r="L80" s="2"/>
      <c r="M80" s="2"/>
      <c r="N80" s="2"/>
      <c r="O80" s="2"/>
    </row>
    <row r="81">
      <c r="A81" s="60">
        <v>1.0</v>
      </c>
      <c r="B81" s="97" t="s">
        <v>130</v>
      </c>
      <c r="C81" s="9" t="s">
        <v>10</v>
      </c>
      <c r="D81" s="57" t="s">
        <v>126</v>
      </c>
      <c r="E81" s="57" t="s">
        <v>27</v>
      </c>
      <c r="F81" s="98"/>
      <c r="G81" s="50"/>
      <c r="H81" s="2"/>
      <c r="I81" s="2"/>
      <c r="J81" s="2"/>
      <c r="K81" s="2"/>
      <c r="L81" s="2"/>
      <c r="M81" s="2"/>
      <c r="N81" s="2"/>
      <c r="O81" s="2"/>
    </row>
    <row r="82">
      <c r="A82" s="77">
        <v>2.0</v>
      </c>
      <c r="B82" s="100" t="s">
        <v>133</v>
      </c>
      <c r="C82" s="9" t="s">
        <v>10</v>
      </c>
      <c r="D82" s="57" t="s">
        <v>126</v>
      </c>
      <c r="E82" s="57" t="s">
        <v>27</v>
      </c>
      <c r="F82" s="62"/>
      <c r="G82" s="50"/>
      <c r="H82" s="2"/>
      <c r="I82" s="2"/>
      <c r="J82" s="2"/>
      <c r="K82" s="2"/>
      <c r="L82" s="2"/>
      <c r="M82" s="2"/>
      <c r="N82" s="2"/>
      <c r="O82" s="2"/>
    </row>
    <row r="83">
      <c r="A83" s="102">
        <v>3.0</v>
      </c>
      <c r="B83" s="97" t="s">
        <v>129</v>
      </c>
      <c r="C83" s="9" t="s">
        <v>10</v>
      </c>
      <c r="D83" s="102" t="s">
        <v>131</v>
      </c>
      <c r="E83" s="57" t="s">
        <v>27</v>
      </c>
      <c r="F83" s="73"/>
      <c r="G83" s="50"/>
      <c r="H83" s="2"/>
      <c r="I83" s="2"/>
      <c r="J83" s="2"/>
      <c r="K83" s="2"/>
      <c r="L83" s="2"/>
      <c r="M83" s="2"/>
      <c r="N83" s="2"/>
      <c r="O83" s="2"/>
    </row>
    <row r="84">
      <c r="A84" s="102">
        <v>4.0</v>
      </c>
      <c r="B84" s="97" t="s">
        <v>138</v>
      </c>
      <c r="C84" s="103" t="s">
        <v>10</v>
      </c>
      <c r="D84" s="102" t="s">
        <v>131</v>
      </c>
      <c r="E84" s="57" t="s">
        <v>27</v>
      </c>
      <c r="F84" s="73"/>
      <c r="G84" s="57" t="s">
        <v>139</v>
      </c>
      <c r="H84" s="2"/>
      <c r="I84" s="2"/>
      <c r="J84" s="2"/>
      <c r="K84" s="2"/>
      <c r="L84" s="2"/>
      <c r="M84" s="2"/>
      <c r="N84" s="2"/>
      <c r="O84" s="2"/>
    </row>
    <row r="85">
      <c r="A85" s="102">
        <v>5.0</v>
      </c>
      <c r="B85" s="105" t="s">
        <v>135</v>
      </c>
      <c r="C85" s="56" t="s">
        <v>10</v>
      </c>
      <c r="D85" s="106" t="s">
        <v>131</v>
      </c>
      <c r="E85" s="88" t="s">
        <v>27</v>
      </c>
      <c r="F85" s="107"/>
      <c r="G85" s="88" t="s">
        <v>140</v>
      </c>
      <c r="H85" s="2"/>
      <c r="I85" s="2"/>
      <c r="J85" s="2"/>
      <c r="K85" s="2"/>
      <c r="L85" s="2"/>
      <c r="M85" s="2"/>
      <c r="N85" s="2"/>
      <c r="O85" s="2"/>
    </row>
    <row r="86">
      <c r="A86" s="102">
        <v>6.0</v>
      </c>
      <c r="B86" s="100" t="s">
        <v>136</v>
      </c>
      <c r="C86" s="9" t="s">
        <v>10</v>
      </c>
      <c r="D86" s="102" t="s">
        <v>137</v>
      </c>
      <c r="E86" s="57" t="s">
        <v>27</v>
      </c>
      <c r="F86" s="73"/>
      <c r="G86" s="50"/>
      <c r="H86" s="2"/>
      <c r="I86" s="2"/>
      <c r="J86" s="2"/>
      <c r="K86" s="2"/>
      <c r="L86" s="2"/>
      <c r="M86" s="2"/>
      <c r="N86" s="2"/>
      <c r="O86" s="2"/>
    </row>
    <row r="87">
      <c r="A87" s="2"/>
      <c r="B87" s="4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>
      <c r="A88" s="2"/>
      <c r="B88" s="4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>
      <c r="A89" s="2"/>
      <c r="B89" s="4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>
      <c r="A90" s="45" t="s">
        <v>0</v>
      </c>
      <c r="B90" s="45" t="s">
        <v>1</v>
      </c>
      <c r="C90" s="46"/>
      <c r="D90" s="45" t="s">
        <v>3</v>
      </c>
      <c r="E90" s="46"/>
      <c r="F90" s="45" t="s">
        <v>5</v>
      </c>
      <c r="G90" s="47" t="s">
        <v>9</v>
      </c>
      <c r="H90" s="2"/>
      <c r="I90" s="2"/>
      <c r="J90" s="2"/>
      <c r="K90" s="2"/>
      <c r="L90" s="2"/>
      <c r="M90" s="2"/>
      <c r="N90" s="2"/>
      <c r="O90" s="2"/>
    </row>
    <row r="91">
      <c r="A91" s="60">
        <v>1.0</v>
      </c>
      <c r="B91" s="97" t="s">
        <v>141</v>
      </c>
      <c r="C91" s="9" t="s">
        <v>10</v>
      </c>
      <c r="D91" s="57" t="s">
        <v>142</v>
      </c>
      <c r="E91" s="57" t="s">
        <v>29</v>
      </c>
      <c r="F91" s="98">
        <v>1.87E7</v>
      </c>
      <c r="G91" s="57" t="s">
        <v>143</v>
      </c>
      <c r="H91" s="33" t="s">
        <v>144</v>
      </c>
      <c r="I91" s="2"/>
      <c r="J91" s="2"/>
      <c r="K91" s="2"/>
      <c r="L91" s="2"/>
      <c r="M91" s="2"/>
      <c r="N91" s="2"/>
      <c r="O91" s="2"/>
    </row>
    <row r="92">
      <c r="A92" s="60"/>
      <c r="B92" s="6"/>
      <c r="C92" s="8"/>
      <c r="D92" s="50"/>
      <c r="E92" s="50"/>
      <c r="F92" s="62"/>
      <c r="G92" s="48"/>
      <c r="H92" s="2"/>
      <c r="I92" s="2"/>
      <c r="J92" s="2"/>
      <c r="K92" s="2"/>
      <c r="L92" s="2"/>
      <c r="M92" s="2"/>
      <c r="N92" s="2"/>
      <c r="O92" s="2"/>
    </row>
    <row r="93">
      <c r="G93" s="101"/>
      <c r="H93" s="2"/>
      <c r="I93" s="2"/>
      <c r="J93" s="2"/>
      <c r="K93" s="2"/>
      <c r="L93" s="2"/>
      <c r="M93" s="2"/>
      <c r="N93" s="2"/>
      <c r="O93" s="2"/>
    </row>
    <row r="94">
      <c r="G94" s="2"/>
      <c r="H94" s="2"/>
      <c r="I94" s="2"/>
      <c r="J94" s="2"/>
      <c r="K94" s="2"/>
      <c r="L94" s="2"/>
      <c r="M94" s="2"/>
      <c r="N94" s="2"/>
      <c r="O94" s="2"/>
    </row>
    <row r="95">
      <c r="A95" s="45" t="s">
        <v>0</v>
      </c>
      <c r="B95" s="45" t="s">
        <v>1</v>
      </c>
      <c r="C95" s="46"/>
      <c r="D95" s="45" t="s">
        <v>3</v>
      </c>
      <c r="E95" s="46"/>
      <c r="F95" s="45" t="s">
        <v>5</v>
      </c>
      <c r="G95" s="47" t="s">
        <v>9</v>
      </c>
      <c r="H95" s="2"/>
      <c r="I95" s="2"/>
      <c r="J95" s="2"/>
      <c r="K95" s="2"/>
      <c r="L95" s="2"/>
      <c r="M95" s="2"/>
      <c r="N95" s="2"/>
      <c r="O95" s="2"/>
    </row>
    <row r="96">
      <c r="A96" s="134">
        <v>1.0</v>
      </c>
      <c r="B96" s="34" t="s">
        <v>145</v>
      </c>
      <c r="C96" s="115" t="s">
        <v>10</v>
      </c>
      <c r="D96" s="130" t="s">
        <v>146</v>
      </c>
      <c r="E96" s="130" t="s">
        <v>147</v>
      </c>
      <c r="F96" s="132">
        <v>1.87E7</v>
      </c>
      <c r="G96" s="130" t="s">
        <v>190</v>
      </c>
      <c r="H96" s="2"/>
      <c r="I96" s="2"/>
      <c r="J96" s="2"/>
      <c r="K96" s="2"/>
      <c r="L96" s="2"/>
      <c r="M96" s="2"/>
      <c r="N96" s="2"/>
      <c r="O96" s="2"/>
    </row>
    <row r="97">
      <c r="A97" s="77">
        <v>2.0</v>
      </c>
      <c r="B97" s="97" t="s">
        <v>149</v>
      </c>
      <c r="C97" s="9" t="s">
        <v>10</v>
      </c>
      <c r="D97" s="57" t="s">
        <v>150</v>
      </c>
      <c r="E97" s="57" t="s">
        <v>147</v>
      </c>
      <c r="F97" s="98">
        <v>1.87E7</v>
      </c>
      <c r="G97" s="57" t="s">
        <v>151</v>
      </c>
      <c r="H97" s="2"/>
      <c r="I97" s="2"/>
      <c r="J97" s="2"/>
      <c r="K97" s="2"/>
      <c r="L97" s="2"/>
      <c r="M97" s="2"/>
      <c r="N97" s="2"/>
      <c r="O97" s="2"/>
    </row>
    <row r="98">
      <c r="A98" s="135">
        <v>3.0</v>
      </c>
      <c r="B98" s="136" t="s">
        <v>191</v>
      </c>
      <c r="C98" s="137" t="s">
        <v>15</v>
      </c>
      <c r="D98" s="126" t="s">
        <v>150</v>
      </c>
      <c r="E98" s="126" t="s">
        <v>147</v>
      </c>
      <c r="F98" s="138"/>
      <c r="G98" s="139" t="s">
        <v>192</v>
      </c>
      <c r="H98" s="2"/>
      <c r="I98" s="2"/>
      <c r="J98" s="2"/>
      <c r="K98" s="2"/>
      <c r="L98" s="2"/>
      <c r="M98" s="2"/>
      <c r="N98" s="2"/>
      <c r="O98" s="2"/>
    </row>
    <row r="99">
      <c r="G99" s="2"/>
      <c r="H99" s="2"/>
      <c r="I99" s="2"/>
      <c r="J99" s="2"/>
      <c r="K99" s="2"/>
      <c r="L99" s="2"/>
      <c r="M99" s="2"/>
      <c r="N99" s="2"/>
      <c r="O99" s="2"/>
    </row>
    <row r="100">
      <c r="A100" s="45" t="s">
        <v>0</v>
      </c>
      <c r="B100" s="45" t="s">
        <v>1</v>
      </c>
      <c r="C100" s="46"/>
      <c r="D100" s="45" t="s">
        <v>3</v>
      </c>
      <c r="E100" s="108"/>
      <c r="F100" s="1" t="s">
        <v>5</v>
      </c>
      <c r="G100" s="47" t="s">
        <v>9</v>
      </c>
      <c r="H100" s="2"/>
      <c r="I100" s="2"/>
      <c r="J100" s="2"/>
      <c r="K100" s="2"/>
      <c r="L100" s="2"/>
      <c r="M100" s="2"/>
      <c r="N100" s="2"/>
      <c r="O100" s="2"/>
    </row>
    <row r="101">
      <c r="A101" s="60">
        <v>1.0</v>
      </c>
      <c r="B101" s="109" t="s">
        <v>152</v>
      </c>
      <c r="C101" s="110" t="s">
        <v>10</v>
      </c>
      <c r="D101" s="111" t="s">
        <v>153</v>
      </c>
      <c r="E101" s="57" t="s">
        <v>154</v>
      </c>
      <c r="F101" s="98">
        <v>1.87E7</v>
      </c>
      <c r="G101" s="57" t="s">
        <v>155</v>
      </c>
      <c r="H101" s="2"/>
      <c r="I101" s="2"/>
      <c r="J101" s="2"/>
      <c r="K101" s="2"/>
      <c r="L101" s="2"/>
      <c r="M101" s="2"/>
      <c r="N101" s="2"/>
      <c r="O101" s="2"/>
    </row>
    <row r="102">
      <c r="A102" s="77">
        <v>2.0</v>
      </c>
      <c r="B102" s="109" t="s">
        <v>156</v>
      </c>
      <c r="C102" s="110" t="s">
        <v>10</v>
      </c>
      <c r="D102" s="112" t="s">
        <v>157</v>
      </c>
      <c r="E102" s="57" t="s">
        <v>154</v>
      </c>
      <c r="F102" s="98">
        <v>1.87E7</v>
      </c>
      <c r="G102" s="57" t="s">
        <v>158</v>
      </c>
      <c r="H102" s="2"/>
      <c r="I102" s="2"/>
      <c r="J102" s="2"/>
      <c r="K102" s="2"/>
      <c r="L102" s="2"/>
      <c r="M102" s="2"/>
      <c r="N102" s="2"/>
      <c r="O102" s="2"/>
    </row>
    <row r="103">
      <c r="A103" s="57">
        <v>3.0</v>
      </c>
      <c r="B103" s="109" t="s">
        <v>159</v>
      </c>
      <c r="C103" s="110" t="s">
        <v>10</v>
      </c>
      <c r="D103" s="62" t="s">
        <v>160</v>
      </c>
      <c r="E103" s="57" t="s">
        <v>154</v>
      </c>
      <c r="F103" s="98">
        <v>1.87E7</v>
      </c>
      <c r="G103" s="57" t="s">
        <v>158</v>
      </c>
      <c r="H103" s="2"/>
      <c r="I103" s="2"/>
      <c r="J103" s="2"/>
      <c r="K103" s="2"/>
      <c r="L103" s="2"/>
      <c r="M103" s="2"/>
      <c r="N103" s="2"/>
      <c r="O103" s="2"/>
    </row>
    <row r="104">
      <c r="A104" s="57">
        <v>4.0</v>
      </c>
      <c r="B104" s="109" t="s">
        <v>161</v>
      </c>
      <c r="C104" s="110" t="s">
        <v>10</v>
      </c>
      <c r="D104" s="62" t="s">
        <v>162</v>
      </c>
      <c r="E104" s="57" t="s">
        <v>154</v>
      </c>
      <c r="F104" s="98">
        <v>1.87E7</v>
      </c>
      <c r="G104" s="57" t="s">
        <v>158</v>
      </c>
      <c r="H104" s="2"/>
      <c r="I104" s="2"/>
      <c r="J104" s="2"/>
      <c r="K104" s="2"/>
      <c r="L104" s="2"/>
      <c r="M104" s="2"/>
      <c r="N104" s="2"/>
      <c r="O104" s="2"/>
    </row>
    <row r="105">
      <c r="A105" s="57">
        <v>5.0</v>
      </c>
      <c r="B105" s="109" t="s">
        <v>163</v>
      </c>
      <c r="C105" s="110" t="s">
        <v>10</v>
      </c>
      <c r="D105" s="50" t="s">
        <v>162</v>
      </c>
      <c r="E105" s="57" t="s">
        <v>154</v>
      </c>
      <c r="F105" s="98">
        <v>1.87E7</v>
      </c>
      <c r="G105" s="57" t="s">
        <v>158</v>
      </c>
      <c r="H105" s="2"/>
      <c r="I105" s="2"/>
      <c r="J105" s="2"/>
      <c r="K105" s="2"/>
      <c r="L105" s="2"/>
      <c r="M105" s="2"/>
      <c r="N105" s="2"/>
      <c r="O105" s="2"/>
    </row>
    <row r="106">
      <c r="A106" s="57">
        <v>6.0</v>
      </c>
      <c r="B106" s="109" t="s">
        <v>164</v>
      </c>
      <c r="C106" s="110" t="s">
        <v>10</v>
      </c>
      <c r="D106" s="62" t="s">
        <v>165</v>
      </c>
      <c r="E106" s="57" t="s">
        <v>154</v>
      </c>
      <c r="F106" s="98">
        <v>1.87E7</v>
      </c>
      <c r="G106" s="57" t="s">
        <v>158</v>
      </c>
      <c r="H106" s="2"/>
      <c r="I106" s="2"/>
      <c r="J106" s="2"/>
      <c r="K106" s="2"/>
      <c r="L106" s="2"/>
      <c r="M106" s="2"/>
      <c r="N106" s="2"/>
      <c r="O106" s="2"/>
    </row>
    <row r="107">
      <c r="A107" s="57">
        <v>7.0</v>
      </c>
      <c r="B107" s="109" t="s">
        <v>166</v>
      </c>
      <c r="C107" s="110" t="s">
        <v>10</v>
      </c>
      <c r="D107" s="50" t="s">
        <v>165</v>
      </c>
      <c r="E107" s="57" t="s">
        <v>154</v>
      </c>
      <c r="F107" s="98">
        <v>1.87E7</v>
      </c>
      <c r="G107" s="57" t="s">
        <v>167</v>
      </c>
      <c r="H107" s="2"/>
      <c r="I107" s="2"/>
      <c r="J107" s="2"/>
      <c r="K107" s="2"/>
      <c r="L107" s="2"/>
      <c r="M107" s="2"/>
      <c r="N107" s="2"/>
      <c r="O107" s="2"/>
    </row>
    <row r="108">
      <c r="A108" s="57">
        <v>8.0</v>
      </c>
      <c r="B108" s="109" t="s">
        <v>168</v>
      </c>
      <c r="C108" s="110" t="s">
        <v>10</v>
      </c>
      <c r="D108" s="50" t="s">
        <v>169</v>
      </c>
      <c r="E108" s="57" t="s">
        <v>154</v>
      </c>
      <c r="F108" s="98">
        <v>1.87E7</v>
      </c>
      <c r="G108" s="57" t="s">
        <v>158</v>
      </c>
      <c r="H108" s="2"/>
      <c r="I108" s="2"/>
      <c r="J108" s="2"/>
      <c r="K108" s="2"/>
      <c r="L108" s="2"/>
      <c r="M108" s="2"/>
      <c r="N108" s="2"/>
      <c r="O108" s="2"/>
    </row>
    <row r="109">
      <c r="A109" s="57">
        <v>9.0</v>
      </c>
      <c r="B109" s="109" t="s">
        <v>170</v>
      </c>
      <c r="C109" s="110" t="s">
        <v>10</v>
      </c>
      <c r="D109" s="50" t="s">
        <v>169</v>
      </c>
      <c r="E109" s="57" t="s">
        <v>154</v>
      </c>
      <c r="F109" s="98">
        <v>1.87E7</v>
      </c>
      <c r="G109" s="57" t="s">
        <v>158</v>
      </c>
      <c r="H109" s="2"/>
      <c r="I109" s="2"/>
      <c r="J109" s="2"/>
      <c r="K109" s="2"/>
      <c r="L109" s="2"/>
      <c r="M109" s="2"/>
      <c r="N109" s="2"/>
      <c r="O109" s="2"/>
    </row>
    <row r="110">
      <c r="A110" s="2"/>
      <c r="F110" s="40"/>
      <c r="G110" s="2"/>
      <c r="H110" s="2"/>
      <c r="I110" s="2"/>
      <c r="J110" s="2"/>
      <c r="K110" s="2"/>
      <c r="L110" s="2"/>
      <c r="M110" s="2"/>
      <c r="N110" s="2"/>
      <c r="O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2.75"/>
    <col customWidth="1" min="3" max="3" width="8.5"/>
    <col customWidth="1" min="4" max="4" width="19.88"/>
    <col customWidth="1" min="5" max="5" width="29.13"/>
    <col customWidth="1" hidden="1" min="6" max="6" width="17.38"/>
    <col customWidth="1" min="7" max="7" width="20.88"/>
    <col customWidth="1" min="9" max="9" width="31.88"/>
    <col customWidth="1" min="10" max="10" width="1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9</v>
      </c>
      <c r="H1" s="2"/>
      <c r="I1" s="3" t="s">
        <v>6</v>
      </c>
      <c r="J1" s="3" t="s">
        <v>7</v>
      </c>
      <c r="K1" s="2"/>
      <c r="L1" s="4"/>
      <c r="M1" s="4"/>
      <c r="N1" s="4"/>
      <c r="O1" s="2"/>
    </row>
    <row r="2">
      <c r="A2" s="5">
        <v>1.0</v>
      </c>
      <c r="B2" s="6" t="s">
        <v>31</v>
      </c>
      <c r="C2" s="8" t="s">
        <v>15</v>
      </c>
      <c r="D2" s="9" t="s">
        <v>32</v>
      </c>
      <c r="E2" s="8" t="s">
        <v>33</v>
      </c>
      <c r="F2" s="10">
        <v>2.2387E7</v>
      </c>
      <c r="G2" s="29" t="s">
        <v>41</v>
      </c>
      <c r="H2" s="11"/>
      <c r="I2" s="12" t="s">
        <v>13</v>
      </c>
      <c r="J2" s="14">
        <v>1.0</v>
      </c>
      <c r="K2" s="11"/>
      <c r="L2" s="11"/>
      <c r="M2" s="15"/>
      <c r="N2" s="11"/>
      <c r="O2" s="2"/>
    </row>
    <row r="3">
      <c r="A3" s="5">
        <v>2.0</v>
      </c>
      <c r="B3" s="13" t="s">
        <v>39</v>
      </c>
      <c r="C3" s="115" t="s">
        <v>10</v>
      </c>
      <c r="D3" s="115" t="s">
        <v>32</v>
      </c>
      <c r="E3" s="115" t="s">
        <v>33</v>
      </c>
      <c r="F3" s="10">
        <v>2.2387E7</v>
      </c>
      <c r="G3" s="98" t="s">
        <v>172</v>
      </c>
      <c r="H3" s="11"/>
      <c r="I3" s="12" t="s">
        <v>17</v>
      </c>
      <c r="J3" s="14">
        <v>3.0</v>
      </c>
      <c r="K3" s="11"/>
      <c r="L3" s="11"/>
      <c r="M3" s="11"/>
      <c r="N3" s="11"/>
      <c r="O3" s="2"/>
    </row>
    <row r="4">
      <c r="A4" s="5">
        <v>3.0</v>
      </c>
      <c r="B4" s="116"/>
      <c r="C4" s="8"/>
      <c r="D4" s="20"/>
      <c r="E4" s="20"/>
      <c r="F4" s="10"/>
      <c r="G4" s="17"/>
      <c r="H4" s="11"/>
      <c r="I4" s="12" t="s">
        <v>20</v>
      </c>
      <c r="J4" s="14">
        <v>7.0</v>
      </c>
      <c r="K4" s="11"/>
      <c r="L4" s="11"/>
      <c r="M4" s="11"/>
      <c r="N4" s="11"/>
      <c r="O4" s="2"/>
    </row>
    <row r="5">
      <c r="A5" s="5">
        <v>4.0</v>
      </c>
      <c r="B5" s="26"/>
      <c r="C5" s="8"/>
      <c r="D5" s="9"/>
      <c r="E5" s="9"/>
      <c r="F5" s="10"/>
      <c r="G5" s="25"/>
      <c r="H5" s="11"/>
      <c r="I5" s="12" t="s">
        <v>23</v>
      </c>
      <c r="J5" s="14">
        <v>1.0</v>
      </c>
      <c r="K5" s="11"/>
      <c r="L5" s="11"/>
      <c r="M5" s="11"/>
      <c r="N5" s="11"/>
      <c r="O5" s="2"/>
    </row>
    <row r="6">
      <c r="A6" s="5">
        <v>5.0</v>
      </c>
      <c r="B6" s="26"/>
      <c r="C6" s="8"/>
      <c r="D6" s="9"/>
      <c r="E6" s="9"/>
      <c r="F6" s="10"/>
      <c r="G6" s="17"/>
      <c r="H6" s="11"/>
      <c r="I6" s="22" t="s">
        <v>27</v>
      </c>
      <c r="J6" s="14">
        <v>6.0</v>
      </c>
      <c r="K6" s="11"/>
      <c r="L6" s="11"/>
      <c r="M6" s="11"/>
      <c r="N6" s="11"/>
      <c r="O6" s="2"/>
    </row>
    <row r="7">
      <c r="A7" s="5">
        <v>6.0</v>
      </c>
      <c r="B7" s="26"/>
      <c r="C7" s="8"/>
      <c r="D7" s="9"/>
      <c r="E7" s="8"/>
      <c r="F7" s="10"/>
      <c r="G7" s="29"/>
      <c r="H7" s="11"/>
      <c r="I7" s="23" t="s">
        <v>29</v>
      </c>
      <c r="J7" s="14">
        <v>1.0</v>
      </c>
      <c r="K7" s="11"/>
      <c r="L7" s="11"/>
      <c r="M7" s="11"/>
      <c r="N7" s="11"/>
      <c r="O7" s="2"/>
    </row>
    <row r="8">
      <c r="A8" s="5">
        <v>7.0</v>
      </c>
      <c r="B8" s="26"/>
      <c r="C8" s="8"/>
      <c r="D8" s="20"/>
      <c r="E8" s="9"/>
      <c r="F8" s="10"/>
      <c r="G8" s="17"/>
      <c r="H8" s="11"/>
      <c r="I8" s="91" t="s">
        <v>34</v>
      </c>
      <c r="J8" s="117">
        <v>0.0</v>
      </c>
      <c r="K8" s="11"/>
      <c r="L8" s="11"/>
      <c r="M8" s="11"/>
      <c r="N8" s="11"/>
      <c r="O8" s="2"/>
    </row>
    <row r="9">
      <c r="A9" s="5">
        <v>8.0</v>
      </c>
      <c r="B9" s="26"/>
      <c r="C9" s="8"/>
      <c r="D9" s="9"/>
      <c r="E9" s="8"/>
      <c r="F9" s="10"/>
      <c r="G9" s="37"/>
      <c r="H9" s="11"/>
      <c r="I9" s="23" t="s">
        <v>38</v>
      </c>
      <c r="J9" s="14">
        <v>5.0</v>
      </c>
      <c r="K9" s="11"/>
      <c r="L9" s="11"/>
      <c r="M9" s="11"/>
      <c r="N9" s="11"/>
      <c r="O9" s="2"/>
    </row>
    <row r="10">
      <c r="A10" s="5">
        <v>9.0</v>
      </c>
      <c r="B10" s="30"/>
      <c r="C10" s="8"/>
      <c r="D10" s="9"/>
      <c r="E10" s="9"/>
      <c r="F10" s="10"/>
      <c r="G10" s="25"/>
      <c r="H10" s="11"/>
      <c r="I10" s="23" t="s">
        <v>40</v>
      </c>
      <c r="J10" s="14">
        <v>2.0</v>
      </c>
      <c r="K10" s="28"/>
      <c r="L10" s="28"/>
      <c r="M10" s="28"/>
      <c r="N10" s="28"/>
      <c r="O10" s="2"/>
    </row>
    <row r="11">
      <c r="A11" s="5"/>
      <c r="B11" s="73"/>
      <c r="C11" s="73"/>
      <c r="D11" s="73"/>
      <c r="E11" s="73"/>
      <c r="F11" s="73"/>
      <c r="G11" s="73"/>
      <c r="H11" s="11"/>
      <c r="I11" s="23" t="s">
        <v>175</v>
      </c>
      <c r="J11" s="32">
        <v>12.0</v>
      </c>
      <c r="K11" s="28"/>
      <c r="L11" s="28"/>
      <c r="M11" s="28"/>
      <c r="N11" s="28"/>
      <c r="O11" s="2"/>
    </row>
    <row r="12">
      <c r="A12" s="113"/>
      <c r="H12" s="11"/>
      <c r="I12" s="23" t="s">
        <v>171</v>
      </c>
      <c r="J12" s="32">
        <v>2.0</v>
      </c>
      <c r="K12" s="28"/>
      <c r="L12" s="28"/>
      <c r="M12" s="28"/>
      <c r="N12" s="28"/>
      <c r="O12" s="2"/>
    </row>
    <row r="13">
      <c r="A13" s="2"/>
      <c r="B13" s="33"/>
      <c r="C13" s="33"/>
      <c r="D13" s="2"/>
      <c r="E13" s="2"/>
      <c r="F13" s="35"/>
      <c r="G13" s="2"/>
      <c r="H13" s="11"/>
      <c r="I13" s="23" t="s">
        <v>48</v>
      </c>
      <c r="J13" s="32">
        <v>2.0</v>
      </c>
      <c r="K13" s="2"/>
      <c r="L13" s="2"/>
      <c r="M13" s="2"/>
      <c r="N13" s="2"/>
      <c r="O13" s="2"/>
    </row>
    <row r="14">
      <c r="A14" s="2"/>
      <c r="B14" s="33"/>
      <c r="C14" s="33"/>
      <c r="D14" s="2"/>
      <c r="E14" s="2"/>
      <c r="F14" s="35"/>
      <c r="G14" s="2"/>
      <c r="H14" s="11"/>
      <c r="I14" s="23" t="s">
        <v>49</v>
      </c>
      <c r="J14" s="32">
        <v>9.0</v>
      </c>
      <c r="K14" s="2"/>
      <c r="L14" s="2"/>
      <c r="M14" s="2"/>
      <c r="N14" s="2"/>
      <c r="O14" s="2"/>
    </row>
    <row r="15">
      <c r="A15" s="2"/>
      <c r="B15" s="33"/>
      <c r="C15" s="33"/>
      <c r="D15" s="2"/>
      <c r="E15" s="2"/>
      <c r="F15" s="35"/>
      <c r="G15" s="2"/>
      <c r="H15" s="11"/>
      <c r="I15" s="23" t="s">
        <v>178</v>
      </c>
      <c r="J15" s="120">
        <v>8.0</v>
      </c>
      <c r="K15" s="2"/>
      <c r="L15" s="2"/>
      <c r="M15" s="2"/>
      <c r="N15" s="2"/>
      <c r="O15" s="2"/>
    </row>
    <row r="16">
      <c r="A16" s="2"/>
      <c r="B16" s="33" t="s">
        <v>44</v>
      </c>
      <c r="C16" s="33">
        <v>2.0</v>
      </c>
      <c r="D16" s="2"/>
      <c r="E16" s="33" t="s">
        <v>179</v>
      </c>
      <c r="F16" s="35"/>
      <c r="G16" s="2"/>
      <c r="H16" s="11"/>
      <c r="I16" s="38" t="s">
        <v>46</v>
      </c>
      <c r="J16" s="43">
        <f>SUM(J2:J15)</f>
        <v>59</v>
      </c>
      <c r="K16" s="2"/>
      <c r="L16" s="2"/>
      <c r="M16" s="2"/>
      <c r="N16" s="2"/>
      <c r="O16" s="2"/>
    </row>
    <row r="17">
      <c r="A17" s="44"/>
      <c r="B17" s="44"/>
      <c r="C17" s="44"/>
      <c r="D17" s="2"/>
      <c r="E17" s="2"/>
      <c r="F17" s="2"/>
      <c r="G17" s="2"/>
      <c r="H17" s="11"/>
      <c r="K17" s="2"/>
      <c r="L17" s="2"/>
      <c r="M17" s="2"/>
      <c r="N17" s="2"/>
      <c r="O17" s="2"/>
    </row>
    <row r="18">
      <c r="A18" s="44"/>
      <c r="B18" s="44"/>
      <c r="C18" s="44"/>
      <c r="D18" s="2"/>
      <c r="E18" s="2"/>
      <c r="F18" s="2"/>
      <c r="G18" s="2"/>
      <c r="H18" s="11"/>
      <c r="I18" s="2"/>
      <c r="J18" s="2"/>
      <c r="K18" s="2"/>
      <c r="L18" s="2"/>
      <c r="M18" s="2"/>
      <c r="N18" s="2"/>
      <c r="O18" s="2"/>
    </row>
    <row r="19">
      <c r="A19" s="44"/>
      <c r="B19" s="44"/>
      <c r="C19" s="44"/>
      <c r="D19" s="2"/>
      <c r="E19" s="2"/>
      <c r="F19" s="2"/>
      <c r="G19" s="2"/>
      <c r="H19" s="11"/>
      <c r="K19" s="2"/>
      <c r="L19" s="2"/>
      <c r="M19" s="2"/>
      <c r="N19" s="2"/>
      <c r="O19" s="2"/>
    </row>
    <row r="20">
      <c r="A20" s="45" t="s">
        <v>0</v>
      </c>
      <c r="B20" s="45" t="s">
        <v>1</v>
      </c>
      <c r="C20" s="45" t="s">
        <v>2</v>
      </c>
      <c r="D20" s="45" t="s">
        <v>3</v>
      </c>
      <c r="E20" s="46"/>
      <c r="F20" s="45" t="s">
        <v>5</v>
      </c>
      <c r="G20" s="47" t="s">
        <v>9</v>
      </c>
      <c r="H20" s="11"/>
      <c r="I20" s="44"/>
      <c r="J20" s="2"/>
      <c r="K20" s="2"/>
      <c r="L20" s="2"/>
      <c r="M20" s="2"/>
      <c r="N20" s="2"/>
      <c r="O20" s="2"/>
    </row>
    <row r="21">
      <c r="A21" s="48">
        <v>1.0</v>
      </c>
      <c r="B21" s="6" t="s">
        <v>51</v>
      </c>
      <c r="C21" s="6" t="s">
        <v>10</v>
      </c>
      <c r="D21" s="49" t="s">
        <v>52</v>
      </c>
      <c r="E21" s="9" t="s">
        <v>53</v>
      </c>
      <c r="F21" s="48" t="s">
        <v>54</v>
      </c>
      <c r="G21" s="50"/>
      <c r="H21" s="11"/>
      <c r="I21" s="51"/>
      <c r="J21" s="2"/>
      <c r="K21" s="2"/>
      <c r="L21" s="2"/>
      <c r="M21" s="2"/>
      <c r="N21" s="2"/>
      <c r="O21" s="2"/>
    </row>
    <row r="22">
      <c r="A22" s="48">
        <v>2.0</v>
      </c>
      <c r="B22" s="26" t="s">
        <v>56</v>
      </c>
      <c r="C22" s="6" t="s">
        <v>10</v>
      </c>
      <c r="D22" s="49" t="s">
        <v>52</v>
      </c>
      <c r="E22" s="9" t="s">
        <v>53</v>
      </c>
      <c r="F22" s="48" t="s">
        <v>54</v>
      </c>
      <c r="G22" s="50"/>
      <c r="H22" s="11"/>
      <c r="I22" s="51"/>
      <c r="J22" s="2"/>
      <c r="K22" s="2"/>
      <c r="L22" s="2"/>
      <c r="M22" s="2"/>
      <c r="N22" s="2"/>
      <c r="O22" s="2"/>
    </row>
    <row r="23">
      <c r="A23" s="48">
        <v>3.0</v>
      </c>
      <c r="B23" s="26" t="s">
        <v>57</v>
      </c>
      <c r="C23" s="6" t="s">
        <v>10</v>
      </c>
      <c r="D23" s="49" t="s">
        <v>52</v>
      </c>
      <c r="E23" s="9" t="s">
        <v>53</v>
      </c>
      <c r="F23" s="48" t="s">
        <v>54</v>
      </c>
      <c r="G23" s="50"/>
      <c r="H23" s="11"/>
      <c r="I23" s="51"/>
      <c r="J23" s="2"/>
      <c r="K23" s="2"/>
      <c r="L23" s="2"/>
      <c r="M23" s="2"/>
      <c r="N23" s="2"/>
      <c r="O23" s="2"/>
    </row>
    <row r="24">
      <c r="A24" s="48">
        <v>4.0</v>
      </c>
      <c r="B24" s="121" t="s">
        <v>60</v>
      </c>
      <c r="C24" s="121" t="s">
        <v>10</v>
      </c>
      <c r="D24" s="68" t="s">
        <v>52</v>
      </c>
      <c r="E24" s="69" t="s">
        <v>53</v>
      </c>
      <c r="F24" s="48" t="s">
        <v>54</v>
      </c>
      <c r="G24" s="57" t="s">
        <v>181</v>
      </c>
      <c r="H24" s="11"/>
      <c r="I24" s="58"/>
      <c r="J24" s="2"/>
      <c r="K24" s="2"/>
      <c r="L24" s="2"/>
      <c r="M24" s="2"/>
      <c r="N24" s="2"/>
      <c r="O24" s="2"/>
    </row>
    <row r="25">
      <c r="A25" s="48">
        <v>5.0</v>
      </c>
      <c r="B25" s="26" t="s">
        <v>61</v>
      </c>
      <c r="C25" s="6" t="s">
        <v>10</v>
      </c>
      <c r="D25" s="49" t="s">
        <v>52</v>
      </c>
      <c r="E25" s="9" t="s">
        <v>53</v>
      </c>
      <c r="F25" s="48" t="s">
        <v>54</v>
      </c>
      <c r="G25" s="50"/>
      <c r="H25" s="11"/>
      <c r="I25" s="58"/>
      <c r="J25" s="2"/>
      <c r="K25" s="2"/>
      <c r="L25" s="2"/>
      <c r="M25" s="2"/>
      <c r="N25" s="2"/>
      <c r="O25" s="2"/>
    </row>
    <row r="26">
      <c r="A26" s="48">
        <v>6.0</v>
      </c>
      <c r="B26" s="26" t="s">
        <v>62</v>
      </c>
      <c r="C26" s="6" t="s">
        <v>10</v>
      </c>
      <c r="D26" s="49" t="s">
        <v>52</v>
      </c>
      <c r="E26" s="9" t="s">
        <v>53</v>
      </c>
      <c r="F26" s="48" t="s">
        <v>54</v>
      </c>
      <c r="G26" s="50"/>
      <c r="H26" s="11"/>
      <c r="I26" s="59"/>
      <c r="J26" s="2"/>
      <c r="K26" s="2"/>
      <c r="L26" s="2"/>
      <c r="M26" s="2"/>
      <c r="N26" s="2"/>
      <c r="O26" s="2"/>
    </row>
    <row r="27">
      <c r="A27" s="48">
        <v>7.0</v>
      </c>
      <c r="B27" s="26" t="s">
        <v>64</v>
      </c>
      <c r="C27" s="6" t="s">
        <v>10</v>
      </c>
      <c r="D27" s="49" t="s">
        <v>52</v>
      </c>
      <c r="E27" s="9" t="s">
        <v>53</v>
      </c>
      <c r="F27" s="48" t="s">
        <v>54</v>
      </c>
      <c r="G27" s="50"/>
      <c r="H27" s="11"/>
      <c r="I27" s="59"/>
      <c r="J27" s="2"/>
      <c r="K27" s="2"/>
      <c r="L27" s="2"/>
      <c r="M27" s="2"/>
      <c r="N27" s="2"/>
      <c r="O27" s="2"/>
    </row>
    <row r="28">
      <c r="A28" s="48">
        <v>8.0</v>
      </c>
      <c r="B28" s="26" t="s">
        <v>65</v>
      </c>
      <c r="C28" s="6" t="s">
        <v>10</v>
      </c>
      <c r="D28" s="49" t="s">
        <v>52</v>
      </c>
      <c r="E28" s="9" t="s">
        <v>53</v>
      </c>
      <c r="F28" s="48" t="s">
        <v>54</v>
      </c>
      <c r="G28" s="50"/>
      <c r="H28" s="11"/>
      <c r="I28" s="2"/>
      <c r="J28" s="2"/>
      <c r="K28" s="2"/>
      <c r="L28" s="2"/>
      <c r="M28" s="2"/>
      <c r="N28" s="2"/>
      <c r="O28" s="2"/>
    </row>
    <row r="29">
      <c r="A29" s="48">
        <v>9.0</v>
      </c>
      <c r="B29" s="26" t="s">
        <v>66</v>
      </c>
      <c r="C29" s="6" t="s">
        <v>10</v>
      </c>
      <c r="D29" s="49" t="s">
        <v>52</v>
      </c>
      <c r="E29" s="9" t="s">
        <v>53</v>
      </c>
      <c r="F29" s="48" t="s">
        <v>54</v>
      </c>
      <c r="G29" s="50"/>
      <c r="H29" s="11"/>
      <c r="I29" s="2"/>
      <c r="J29" s="2"/>
      <c r="K29" s="2"/>
      <c r="L29" s="2"/>
      <c r="M29" s="2"/>
      <c r="N29" s="2"/>
      <c r="O29" s="2"/>
    </row>
    <row r="30">
      <c r="A30" s="48">
        <v>10.0</v>
      </c>
      <c r="B30" s="61" t="s">
        <v>67</v>
      </c>
      <c r="C30" s="6" t="s">
        <v>10</v>
      </c>
      <c r="D30" s="49" t="s">
        <v>52</v>
      </c>
      <c r="E30" s="8" t="s">
        <v>53</v>
      </c>
      <c r="F30" s="48" t="s">
        <v>54</v>
      </c>
      <c r="G30" s="50"/>
      <c r="H30" s="11"/>
      <c r="I30" s="2"/>
      <c r="J30" s="2"/>
      <c r="K30" s="2"/>
      <c r="L30" s="2"/>
      <c r="M30" s="2"/>
      <c r="N30" s="2"/>
      <c r="O30" s="2"/>
    </row>
    <row r="31">
      <c r="A31" s="48">
        <v>11.0</v>
      </c>
      <c r="B31" s="6" t="s">
        <v>68</v>
      </c>
      <c r="C31" s="61" t="s">
        <v>10</v>
      </c>
      <c r="D31" s="49" t="s">
        <v>52</v>
      </c>
      <c r="E31" s="8" t="s">
        <v>53</v>
      </c>
      <c r="F31" s="48" t="s">
        <v>54</v>
      </c>
      <c r="G31" s="50"/>
      <c r="H31" s="11"/>
      <c r="I31" s="2"/>
      <c r="J31" s="2"/>
      <c r="K31" s="2"/>
      <c r="L31" s="2"/>
      <c r="M31" s="2"/>
      <c r="N31" s="2"/>
      <c r="O31" s="2"/>
    </row>
    <row r="32">
      <c r="A32" s="48">
        <v>12.0</v>
      </c>
      <c r="B32" s="97" t="s">
        <v>69</v>
      </c>
      <c r="C32" s="61" t="s">
        <v>10</v>
      </c>
      <c r="D32" s="49" t="s">
        <v>52</v>
      </c>
      <c r="E32" s="8" t="s">
        <v>53</v>
      </c>
      <c r="F32" s="48" t="s">
        <v>54</v>
      </c>
      <c r="G32" s="57" t="s">
        <v>173</v>
      </c>
      <c r="H32" s="11"/>
      <c r="I32" s="2"/>
      <c r="J32" s="2"/>
      <c r="K32" s="2"/>
      <c r="L32" s="2"/>
      <c r="M32" s="2"/>
      <c r="N32" s="2"/>
      <c r="O32" s="2"/>
    </row>
    <row r="33">
      <c r="A33" s="48">
        <v>13.0</v>
      </c>
      <c r="B33" s="118" t="s">
        <v>174</v>
      </c>
      <c r="C33" s="61" t="s">
        <v>10</v>
      </c>
      <c r="D33" s="119" t="s">
        <v>176</v>
      </c>
      <c r="E33" s="8" t="s">
        <v>53</v>
      </c>
      <c r="F33" s="73"/>
      <c r="G33" s="102" t="s">
        <v>177</v>
      </c>
      <c r="H33" s="11"/>
      <c r="I33" s="2"/>
      <c r="J33" s="2"/>
      <c r="K33" s="2"/>
      <c r="L33" s="2"/>
      <c r="M33" s="2"/>
      <c r="N33" s="2"/>
      <c r="O33" s="2"/>
    </row>
    <row r="34">
      <c r="A34" s="48">
        <v>14.0</v>
      </c>
      <c r="B34" s="123" t="s">
        <v>80</v>
      </c>
      <c r="C34" s="67" t="s">
        <v>10</v>
      </c>
      <c r="D34" s="124" t="s">
        <v>176</v>
      </c>
      <c r="E34" s="69" t="s">
        <v>53</v>
      </c>
      <c r="F34" s="125"/>
      <c r="G34" s="123" t="s">
        <v>183</v>
      </c>
      <c r="H34" s="11"/>
      <c r="I34" s="2"/>
      <c r="J34" s="2"/>
      <c r="K34" s="2"/>
      <c r="L34" s="2"/>
      <c r="M34" s="2"/>
      <c r="N34" s="2"/>
      <c r="O34" s="2"/>
    </row>
    <row r="35">
      <c r="E35" s="70" t="s">
        <v>74</v>
      </c>
      <c r="H35" s="11"/>
      <c r="I35" s="2"/>
      <c r="J35" s="2"/>
      <c r="K35" s="2"/>
      <c r="L35" s="2"/>
      <c r="M35" s="2"/>
      <c r="N35" s="2"/>
      <c r="O35" s="2"/>
    </row>
    <row r="36">
      <c r="H36" s="11"/>
      <c r="I36" s="2"/>
      <c r="J36" s="2"/>
      <c r="K36" s="2"/>
      <c r="L36" s="2"/>
      <c r="M36" s="2"/>
      <c r="N36" s="2"/>
      <c r="O36" s="2"/>
    </row>
    <row r="37">
      <c r="A37" s="45" t="s">
        <v>0</v>
      </c>
      <c r="B37" s="45" t="s">
        <v>1</v>
      </c>
      <c r="C37" s="45" t="s">
        <v>2</v>
      </c>
      <c r="D37" s="45" t="s">
        <v>3</v>
      </c>
      <c r="E37" s="46"/>
      <c r="F37" s="45" t="s">
        <v>5</v>
      </c>
      <c r="G37" s="47" t="s">
        <v>9</v>
      </c>
      <c r="H37" s="11"/>
      <c r="I37" s="2"/>
      <c r="J37" s="2"/>
      <c r="K37" s="2"/>
      <c r="L37" s="2"/>
      <c r="M37" s="2"/>
      <c r="N37" s="2"/>
      <c r="O37" s="2"/>
    </row>
    <row r="38">
      <c r="A38" s="48">
        <v>1.0</v>
      </c>
      <c r="B38" s="26" t="s">
        <v>71</v>
      </c>
      <c r="C38" s="26" t="s">
        <v>15</v>
      </c>
      <c r="D38" s="50" t="s">
        <v>72</v>
      </c>
      <c r="E38" s="57" t="s">
        <v>77</v>
      </c>
      <c r="F38" s="71">
        <v>2.0E7</v>
      </c>
      <c r="G38" s="73"/>
      <c r="H38" s="11"/>
      <c r="I38" s="2"/>
      <c r="J38" s="2"/>
      <c r="K38" s="2"/>
      <c r="L38" s="2"/>
      <c r="M38" s="2"/>
      <c r="N38" s="2"/>
      <c r="O38" s="2"/>
    </row>
    <row r="39">
      <c r="A39" s="48">
        <v>2.0</v>
      </c>
      <c r="B39" s="26" t="s">
        <v>75</v>
      </c>
      <c r="C39" s="26" t="s">
        <v>15</v>
      </c>
      <c r="D39" s="50" t="s">
        <v>72</v>
      </c>
      <c r="E39" s="57" t="s">
        <v>79</v>
      </c>
      <c r="F39" s="71">
        <v>2.0E7</v>
      </c>
      <c r="G39" s="73"/>
      <c r="H39" s="11"/>
      <c r="I39" s="2"/>
      <c r="J39" s="2"/>
      <c r="K39" s="2"/>
      <c r="L39" s="2"/>
      <c r="M39" s="2"/>
      <c r="N39" s="2"/>
      <c r="O39" s="2"/>
    </row>
    <row r="40">
      <c r="A40" s="48">
        <v>3.0</v>
      </c>
      <c r="B40" s="26" t="s">
        <v>76</v>
      </c>
      <c r="C40" s="26" t="s">
        <v>15</v>
      </c>
      <c r="D40" s="50" t="s">
        <v>72</v>
      </c>
      <c r="E40" s="57" t="s">
        <v>79</v>
      </c>
      <c r="F40" s="71">
        <v>2.0E7</v>
      </c>
      <c r="G40" s="50"/>
      <c r="H40" s="11"/>
      <c r="I40" s="2"/>
      <c r="J40" s="2"/>
      <c r="K40" s="2"/>
      <c r="L40" s="2"/>
      <c r="M40" s="2"/>
      <c r="N40" s="2"/>
      <c r="O40" s="2"/>
    </row>
    <row r="41">
      <c r="A41" s="48">
        <v>4.0</v>
      </c>
      <c r="B41" s="72" t="s">
        <v>78</v>
      </c>
      <c r="C41" s="26" t="s">
        <v>15</v>
      </c>
      <c r="D41" s="50" t="s">
        <v>72</v>
      </c>
      <c r="E41" s="57" t="s">
        <v>77</v>
      </c>
      <c r="F41" s="71">
        <v>2.0E7</v>
      </c>
      <c r="G41" s="50"/>
      <c r="H41" s="11"/>
      <c r="I41" s="2"/>
      <c r="J41" s="2"/>
      <c r="K41" s="2"/>
      <c r="L41" s="2"/>
      <c r="M41" s="2"/>
      <c r="N41" s="2"/>
      <c r="O41" s="2"/>
    </row>
    <row r="42">
      <c r="A42" s="77">
        <v>5.0</v>
      </c>
      <c r="B42" s="6" t="s">
        <v>83</v>
      </c>
      <c r="C42" s="26" t="s">
        <v>15</v>
      </c>
      <c r="D42" s="50" t="s">
        <v>81</v>
      </c>
      <c r="E42" s="50" t="s">
        <v>84</v>
      </c>
      <c r="F42" s="75"/>
      <c r="G42" s="50"/>
      <c r="H42" s="11"/>
      <c r="I42" s="2"/>
      <c r="J42" s="2"/>
      <c r="K42" s="2"/>
      <c r="L42" s="2"/>
      <c r="M42" s="2"/>
      <c r="N42" s="2"/>
      <c r="O42" s="2"/>
    </row>
    <row r="43">
      <c r="A43" s="77">
        <v>6.0</v>
      </c>
      <c r="B43" s="6" t="s">
        <v>85</v>
      </c>
      <c r="C43" s="8" t="s">
        <v>10</v>
      </c>
      <c r="D43" s="50" t="s">
        <v>81</v>
      </c>
      <c r="E43" s="50" t="s">
        <v>84</v>
      </c>
      <c r="F43" s="75"/>
      <c r="G43" s="50"/>
      <c r="H43" s="11"/>
      <c r="I43" s="2"/>
      <c r="J43" s="2"/>
      <c r="K43" s="2"/>
      <c r="L43" s="2"/>
      <c r="M43" s="2"/>
      <c r="N43" s="2"/>
      <c r="O43" s="2"/>
    </row>
    <row r="44">
      <c r="A44" s="66">
        <v>7.0</v>
      </c>
      <c r="B44" s="121" t="s">
        <v>110</v>
      </c>
      <c r="C44" s="69" t="s">
        <v>10</v>
      </c>
      <c r="D44" s="126" t="s">
        <v>184</v>
      </c>
      <c r="E44" s="126" t="s">
        <v>185</v>
      </c>
      <c r="F44" s="127"/>
      <c r="G44" s="126" t="s">
        <v>186</v>
      </c>
      <c r="H44" s="28"/>
      <c r="I44" s="44"/>
      <c r="J44" s="44"/>
      <c r="K44" s="44"/>
      <c r="L44" s="44"/>
      <c r="M44" s="44"/>
      <c r="N44" s="44"/>
      <c r="O44" s="44"/>
    </row>
    <row r="45">
      <c r="E45" s="70" t="s">
        <v>86</v>
      </c>
      <c r="G45" s="74"/>
      <c r="H45" s="11"/>
      <c r="I45" s="74"/>
      <c r="J45" s="74"/>
      <c r="K45" s="74"/>
      <c r="L45" s="74"/>
      <c r="M45" s="74"/>
      <c r="N45" s="74"/>
      <c r="O45" s="2"/>
    </row>
    <row r="46">
      <c r="G46" s="74"/>
      <c r="H46" s="11"/>
      <c r="I46" s="74"/>
      <c r="J46" s="74"/>
      <c r="K46" s="74"/>
      <c r="L46" s="74"/>
      <c r="M46" s="74"/>
      <c r="N46" s="74"/>
      <c r="O46" s="2"/>
    </row>
    <row r="47">
      <c r="A47" s="45" t="s">
        <v>0</v>
      </c>
      <c r="B47" s="45" t="s">
        <v>1</v>
      </c>
      <c r="C47" s="46"/>
      <c r="D47" s="45" t="s">
        <v>3</v>
      </c>
      <c r="E47" s="46"/>
      <c r="F47" s="45" t="s">
        <v>5</v>
      </c>
      <c r="G47" s="47" t="s">
        <v>9</v>
      </c>
      <c r="H47" s="11"/>
      <c r="I47" s="74"/>
      <c r="J47" s="74"/>
      <c r="K47" s="74"/>
      <c r="L47" s="74"/>
      <c r="M47" s="74"/>
      <c r="N47" s="74"/>
      <c r="O47" s="2"/>
    </row>
    <row r="48">
      <c r="A48" s="48">
        <v>1.0</v>
      </c>
      <c r="B48" s="24" t="s">
        <v>80</v>
      </c>
      <c r="C48" s="9" t="s">
        <v>10</v>
      </c>
      <c r="D48" s="50" t="s">
        <v>81</v>
      </c>
      <c r="E48" s="50" t="s">
        <v>82</v>
      </c>
      <c r="F48" s="79">
        <v>2.185E7</v>
      </c>
      <c r="G48" s="80" t="s">
        <v>93</v>
      </c>
      <c r="H48" s="11"/>
      <c r="I48" s="74"/>
      <c r="J48" s="74"/>
      <c r="K48" s="74"/>
      <c r="L48" s="74"/>
      <c r="M48" s="74"/>
      <c r="N48" s="74"/>
      <c r="O48" s="2"/>
    </row>
    <row r="49">
      <c r="A49" s="2"/>
      <c r="B49" s="33"/>
      <c r="C49" s="33"/>
      <c r="D49" s="2"/>
      <c r="E49" s="2"/>
      <c r="F49" s="2"/>
      <c r="G49" s="2"/>
      <c r="H49" s="11"/>
      <c r="I49" s="2"/>
      <c r="J49" s="2"/>
      <c r="K49" s="2"/>
      <c r="L49" s="2"/>
      <c r="M49" s="2"/>
      <c r="N49" s="2"/>
      <c r="O49" s="2"/>
    </row>
    <row r="50">
      <c r="A50" s="2"/>
      <c r="B50" s="2"/>
      <c r="C50" s="2"/>
      <c r="D50" s="2"/>
      <c r="E50" s="2"/>
      <c r="F50" s="2"/>
      <c r="G50" s="2"/>
      <c r="H50" s="11"/>
      <c r="I50" s="2"/>
      <c r="J50" s="2"/>
      <c r="K50" s="2"/>
      <c r="L50" s="2"/>
      <c r="M50" s="2"/>
      <c r="N50" s="2"/>
      <c r="O50" s="2"/>
    </row>
    <row r="51">
      <c r="A51" s="2"/>
      <c r="B51" s="2"/>
      <c r="C51" s="2"/>
      <c r="D51" s="2"/>
      <c r="E51" s="2"/>
      <c r="F51" s="2"/>
      <c r="G51" s="2"/>
      <c r="H51" s="11"/>
      <c r="I51" s="2"/>
      <c r="J51" s="2"/>
      <c r="K51" s="2"/>
      <c r="L51" s="2"/>
      <c r="M51" s="2"/>
      <c r="N51" s="2"/>
      <c r="O51" s="2"/>
    </row>
    <row r="52">
      <c r="A52" s="45" t="s">
        <v>0</v>
      </c>
      <c r="B52" s="45" t="s">
        <v>1</v>
      </c>
      <c r="C52" s="46"/>
      <c r="D52" s="45" t="s">
        <v>3</v>
      </c>
      <c r="E52" s="46"/>
      <c r="F52" s="45" t="s">
        <v>5</v>
      </c>
      <c r="G52" s="47" t="s">
        <v>9</v>
      </c>
      <c r="H52" s="11"/>
      <c r="I52" s="2"/>
      <c r="J52" s="2"/>
      <c r="K52" s="2"/>
      <c r="L52" s="2"/>
      <c r="M52" s="2"/>
      <c r="N52" s="2"/>
      <c r="O52" s="2"/>
    </row>
    <row r="53">
      <c r="A53" s="60">
        <v>1.0</v>
      </c>
      <c r="B53" s="6" t="s">
        <v>87</v>
      </c>
      <c r="C53" s="9" t="s">
        <v>10</v>
      </c>
      <c r="D53" s="50" t="s">
        <v>81</v>
      </c>
      <c r="E53" s="50" t="s">
        <v>88</v>
      </c>
      <c r="F53" s="78">
        <v>4.0E7</v>
      </c>
      <c r="G53" s="83" t="s">
        <v>99</v>
      </c>
      <c r="H53" s="11"/>
      <c r="I53" s="2"/>
      <c r="J53" s="2"/>
      <c r="K53" s="2"/>
      <c r="L53" s="2"/>
      <c r="M53" s="2"/>
      <c r="N53" s="2"/>
      <c r="O53" s="2"/>
    </row>
    <row r="54">
      <c r="A54" s="60">
        <v>5.0</v>
      </c>
      <c r="B54" s="6" t="s">
        <v>95</v>
      </c>
      <c r="C54" s="8" t="s">
        <v>10</v>
      </c>
      <c r="D54" s="8" t="s">
        <v>25</v>
      </c>
      <c r="E54" s="8" t="s">
        <v>96</v>
      </c>
      <c r="F54" s="82"/>
      <c r="G54" s="83" t="s">
        <v>99</v>
      </c>
      <c r="H54" s="11"/>
      <c r="I54" s="2"/>
      <c r="J54" s="2"/>
      <c r="K54" s="2"/>
      <c r="L54" s="2"/>
      <c r="M54" s="2"/>
      <c r="N54" s="2"/>
      <c r="O54" s="2"/>
    </row>
    <row r="55">
      <c r="A55" s="57">
        <v>8.0</v>
      </c>
      <c r="B55" s="91" t="s">
        <v>100</v>
      </c>
      <c r="C55" s="129" t="s">
        <v>10</v>
      </c>
      <c r="D55" s="130" t="s">
        <v>104</v>
      </c>
      <c r="E55" s="130" t="s">
        <v>101</v>
      </c>
      <c r="F55" s="129"/>
      <c r="G55" s="130" t="s">
        <v>187</v>
      </c>
      <c r="H55" s="89">
        <v>46173.0</v>
      </c>
      <c r="I55" s="2"/>
      <c r="J55" s="2"/>
      <c r="K55" s="2"/>
      <c r="L55" s="2"/>
      <c r="M55" s="2"/>
      <c r="N55" s="2"/>
      <c r="O55" s="2"/>
    </row>
    <row r="56">
      <c r="G56" s="44"/>
      <c r="H56" s="11"/>
      <c r="I56" s="2"/>
      <c r="J56" s="2"/>
      <c r="K56" s="2"/>
      <c r="L56" s="2"/>
      <c r="M56" s="2"/>
      <c r="N56" s="2"/>
      <c r="O56" s="2"/>
    </row>
    <row r="57">
      <c r="E57" s="70" t="s">
        <v>106</v>
      </c>
      <c r="G57" s="85"/>
      <c r="H57" s="11"/>
      <c r="I57" s="85"/>
      <c r="J57" s="85"/>
      <c r="K57" s="85"/>
      <c r="L57" s="85"/>
      <c r="M57" s="85"/>
      <c r="N57" s="85"/>
      <c r="O57" s="2"/>
    </row>
    <row r="58">
      <c r="H58" s="2"/>
      <c r="I58" s="2"/>
      <c r="J58" s="2"/>
      <c r="K58" s="2"/>
      <c r="L58" s="2"/>
      <c r="M58" s="2"/>
      <c r="N58" s="2"/>
      <c r="O58" s="2"/>
    </row>
    <row r="59">
      <c r="A59" s="45" t="s">
        <v>0</v>
      </c>
      <c r="B59" s="45" t="s">
        <v>1</v>
      </c>
      <c r="C59" s="46"/>
      <c r="D59" s="45" t="s">
        <v>3</v>
      </c>
      <c r="E59" s="46"/>
      <c r="F59" s="45" t="s">
        <v>5</v>
      </c>
      <c r="G59" s="47" t="s">
        <v>9</v>
      </c>
      <c r="H59" s="2"/>
      <c r="I59" s="2"/>
      <c r="J59" s="2"/>
      <c r="K59" s="2"/>
      <c r="L59" s="2"/>
      <c r="M59" s="2"/>
      <c r="N59" s="2"/>
      <c r="O59" s="2"/>
    </row>
    <row r="60">
      <c r="A60" s="60">
        <v>1.0</v>
      </c>
      <c r="B60" s="13" t="s">
        <v>107</v>
      </c>
      <c r="C60" s="115" t="s">
        <v>10</v>
      </c>
      <c r="D60" s="130" t="s">
        <v>109</v>
      </c>
      <c r="E60" s="130" t="s">
        <v>23</v>
      </c>
      <c r="F60" s="37"/>
      <c r="G60" s="132" t="s">
        <v>188</v>
      </c>
      <c r="H60" s="2"/>
      <c r="I60" s="2"/>
      <c r="J60" s="2"/>
      <c r="K60" s="2"/>
      <c r="L60" s="2"/>
      <c r="M60" s="2"/>
      <c r="N60" s="2"/>
      <c r="O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>
      <c r="G62" s="2"/>
      <c r="H62" s="2"/>
      <c r="I62" s="2"/>
      <c r="J62" s="2"/>
      <c r="K62" s="2"/>
      <c r="L62" s="2"/>
      <c r="M62" s="2"/>
      <c r="N62" s="2"/>
      <c r="O62" s="2"/>
    </row>
    <row r="63">
      <c r="A63" s="45" t="s">
        <v>0</v>
      </c>
      <c r="B63" s="45" t="s">
        <v>1</v>
      </c>
      <c r="C63" s="46"/>
      <c r="D63" s="45" t="s">
        <v>3</v>
      </c>
      <c r="E63" s="46"/>
      <c r="F63" s="45" t="s">
        <v>5</v>
      </c>
      <c r="G63" s="47" t="s">
        <v>9</v>
      </c>
      <c r="H63" s="2"/>
      <c r="I63" s="2"/>
      <c r="J63" s="2"/>
      <c r="K63" s="2"/>
      <c r="L63" s="2"/>
      <c r="M63" s="2"/>
      <c r="N63" s="2"/>
      <c r="O63" s="2"/>
    </row>
    <row r="64">
      <c r="A64" s="60">
        <v>1.0</v>
      </c>
      <c r="B64" s="13" t="s">
        <v>110</v>
      </c>
      <c r="C64" s="115" t="s">
        <v>10</v>
      </c>
      <c r="D64" s="130" t="s">
        <v>113</v>
      </c>
      <c r="E64" s="129" t="s">
        <v>20</v>
      </c>
      <c r="F64" s="133"/>
      <c r="G64" s="130" t="s">
        <v>189</v>
      </c>
      <c r="H64" s="2"/>
      <c r="I64" s="2"/>
      <c r="J64" s="2"/>
      <c r="K64" s="2"/>
      <c r="L64" s="2"/>
      <c r="M64" s="2"/>
      <c r="N64" s="2"/>
      <c r="O64" s="2"/>
    </row>
    <row r="65">
      <c r="A65" s="60">
        <v>2.0</v>
      </c>
      <c r="B65" s="61" t="s">
        <v>112</v>
      </c>
      <c r="C65" s="8" t="s">
        <v>10</v>
      </c>
      <c r="D65" s="57" t="s">
        <v>113</v>
      </c>
      <c r="E65" s="50" t="s">
        <v>20</v>
      </c>
      <c r="F65" s="62"/>
      <c r="G65" s="57" t="s">
        <v>115</v>
      </c>
      <c r="H65" s="2"/>
      <c r="I65" s="2"/>
      <c r="J65" s="2"/>
      <c r="K65" s="2"/>
      <c r="L65" s="2"/>
      <c r="M65" s="2"/>
      <c r="N65" s="2"/>
      <c r="O65" s="2"/>
    </row>
    <row r="66">
      <c r="A66" s="48">
        <v>3.0</v>
      </c>
      <c r="B66" s="93" t="s">
        <v>116</v>
      </c>
      <c r="C66" s="9" t="s">
        <v>10</v>
      </c>
      <c r="D66" s="50" t="s">
        <v>117</v>
      </c>
      <c r="E66" s="50" t="s">
        <v>20</v>
      </c>
      <c r="F66" s="50"/>
      <c r="G66" s="94">
        <v>46196.0</v>
      </c>
      <c r="H66" s="33"/>
      <c r="I66" s="2"/>
      <c r="J66" s="2"/>
      <c r="K66" s="2"/>
      <c r="L66" s="2"/>
      <c r="M66" s="2"/>
      <c r="N66" s="2"/>
      <c r="O66" s="2"/>
    </row>
    <row r="67">
      <c r="A67" s="60">
        <v>4.0</v>
      </c>
      <c r="B67" s="92" t="s">
        <v>119</v>
      </c>
      <c r="C67" s="8" t="s">
        <v>10</v>
      </c>
      <c r="D67" s="57" t="s">
        <v>113</v>
      </c>
      <c r="E67" s="50" t="s">
        <v>20</v>
      </c>
      <c r="F67" s="50"/>
      <c r="G67" s="57" t="s">
        <v>115</v>
      </c>
      <c r="H67" s="33"/>
      <c r="I67" s="2"/>
      <c r="J67" s="2"/>
      <c r="K67" s="2"/>
      <c r="L67" s="2"/>
      <c r="M67" s="2"/>
      <c r="N67" s="2"/>
      <c r="O67" s="2"/>
    </row>
    <row r="68">
      <c r="A68" s="48">
        <v>5.0</v>
      </c>
      <c r="B68" s="95" t="s">
        <v>120</v>
      </c>
      <c r="C68" s="9" t="s">
        <v>10</v>
      </c>
      <c r="D68" s="50" t="s">
        <v>117</v>
      </c>
      <c r="E68" s="50" t="s">
        <v>20</v>
      </c>
      <c r="F68" s="50"/>
      <c r="G68" s="94">
        <v>46203.0</v>
      </c>
      <c r="H68" s="33"/>
      <c r="I68" s="2"/>
      <c r="J68" s="2"/>
      <c r="K68" s="2"/>
      <c r="L68" s="2"/>
      <c r="M68" s="2"/>
      <c r="N68" s="2"/>
      <c r="O68" s="2"/>
    </row>
    <row r="69">
      <c r="A69" s="60">
        <v>6.0</v>
      </c>
      <c r="B69" s="72" t="s">
        <v>121</v>
      </c>
      <c r="C69" s="8" t="s">
        <v>10</v>
      </c>
      <c r="D69" s="50" t="s">
        <v>117</v>
      </c>
      <c r="E69" s="50" t="s">
        <v>20</v>
      </c>
      <c r="F69" s="50"/>
      <c r="G69" s="94">
        <v>46203.0</v>
      </c>
      <c r="H69" s="33"/>
      <c r="I69" s="2"/>
      <c r="J69" s="2"/>
      <c r="K69" s="2"/>
      <c r="L69" s="2"/>
      <c r="M69" s="2"/>
      <c r="N69" s="2"/>
      <c r="O69" s="2"/>
    </row>
    <row r="70">
      <c r="A70" s="50"/>
      <c r="B70" s="50"/>
      <c r="C70" s="50"/>
      <c r="D70" s="50"/>
      <c r="E70" s="50"/>
      <c r="F70" s="50"/>
      <c r="G70" s="50"/>
      <c r="H70" s="2"/>
      <c r="I70" s="2"/>
      <c r="J70" s="2"/>
      <c r="K70" s="2"/>
      <c r="L70" s="2"/>
      <c r="M70" s="2"/>
      <c r="N70" s="2"/>
      <c r="O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>
      <c r="A72" s="44"/>
      <c r="B72" s="44"/>
      <c r="C72" s="44"/>
      <c r="D72" s="44"/>
      <c r="E72" s="99" t="s">
        <v>127</v>
      </c>
      <c r="F72" s="44"/>
      <c r="G72" s="2"/>
      <c r="H72" s="2"/>
      <c r="I72" s="2"/>
      <c r="J72" s="2"/>
      <c r="K72" s="2"/>
      <c r="L72" s="2"/>
      <c r="M72" s="2"/>
      <c r="N72" s="2"/>
      <c r="O72" s="2"/>
    </row>
    <row r="73">
      <c r="A73" s="44"/>
      <c r="B73" s="44"/>
      <c r="C73" s="44"/>
      <c r="D73" s="44"/>
      <c r="E73" s="44"/>
      <c r="F73" s="44"/>
      <c r="G73" s="2"/>
      <c r="H73" s="2"/>
      <c r="I73" s="2"/>
      <c r="J73" s="2"/>
      <c r="K73" s="2"/>
      <c r="L73" s="2"/>
      <c r="M73" s="2"/>
      <c r="N73" s="2"/>
      <c r="O73" s="2"/>
    </row>
    <row r="74">
      <c r="A74" s="45" t="s">
        <v>0</v>
      </c>
      <c r="B74" s="45" t="s">
        <v>1</v>
      </c>
      <c r="C74" s="46"/>
      <c r="D74" s="45" t="s">
        <v>3</v>
      </c>
      <c r="E74" s="46"/>
      <c r="F74" s="45" t="s">
        <v>5</v>
      </c>
      <c r="G74" s="47" t="s">
        <v>9</v>
      </c>
      <c r="H74" s="2"/>
      <c r="I74" s="2"/>
      <c r="J74" s="2"/>
      <c r="K74" s="2"/>
      <c r="L74" s="2"/>
      <c r="M74" s="2"/>
      <c r="N74" s="2"/>
      <c r="O74" s="2"/>
    </row>
    <row r="75">
      <c r="A75" s="60">
        <v>1.0</v>
      </c>
      <c r="B75" s="97" t="s">
        <v>130</v>
      </c>
      <c r="C75" s="9" t="s">
        <v>10</v>
      </c>
      <c r="D75" s="57" t="s">
        <v>126</v>
      </c>
      <c r="E75" s="57" t="s">
        <v>27</v>
      </c>
      <c r="F75" s="98"/>
      <c r="G75" s="50"/>
      <c r="H75" s="2"/>
      <c r="I75" s="2"/>
      <c r="J75" s="2"/>
      <c r="K75" s="2"/>
      <c r="L75" s="2"/>
      <c r="M75" s="2"/>
      <c r="N75" s="2"/>
      <c r="O75" s="2"/>
    </row>
    <row r="76">
      <c r="A76" s="77">
        <v>2.0</v>
      </c>
      <c r="B76" s="100" t="s">
        <v>133</v>
      </c>
      <c r="C76" s="9" t="s">
        <v>10</v>
      </c>
      <c r="D76" s="57" t="s">
        <v>126</v>
      </c>
      <c r="E76" s="57" t="s">
        <v>27</v>
      </c>
      <c r="F76" s="62"/>
      <c r="G76" s="50"/>
      <c r="H76" s="2"/>
      <c r="I76" s="2"/>
      <c r="J76" s="2"/>
      <c r="K76" s="2"/>
      <c r="L76" s="2"/>
      <c r="M76" s="2"/>
      <c r="N76" s="2"/>
      <c r="O76" s="2"/>
    </row>
    <row r="77">
      <c r="A77" s="102">
        <v>3.0</v>
      </c>
      <c r="B77" s="97" t="s">
        <v>129</v>
      </c>
      <c r="C77" s="9" t="s">
        <v>10</v>
      </c>
      <c r="D77" s="102" t="s">
        <v>131</v>
      </c>
      <c r="E77" s="57" t="s">
        <v>27</v>
      </c>
      <c r="F77" s="73"/>
      <c r="G77" s="50"/>
      <c r="H77" s="2"/>
      <c r="I77" s="2"/>
      <c r="J77" s="2"/>
      <c r="K77" s="2"/>
      <c r="L77" s="2"/>
      <c r="M77" s="2"/>
      <c r="N77" s="2"/>
      <c r="O77" s="2"/>
    </row>
    <row r="78">
      <c r="A78" s="102">
        <v>4.0</v>
      </c>
      <c r="B78" s="97" t="s">
        <v>138</v>
      </c>
      <c r="C78" s="103" t="s">
        <v>10</v>
      </c>
      <c r="D78" s="102" t="s">
        <v>131</v>
      </c>
      <c r="E78" s="57" t="s">
        <v>27</v>
      </c>
      <c r="F78" s="73"/>
      <c r="G78" s="57" t="s">
        <v>139</v>
      </c>
      <c r="H78" s="2"/>
      <c r="I78" s="2"/>
      <c r="J78" s="2"/>
      <c r="K78" s="2"/>
      <c r="L78" s="2"/>
      <c r="M78" s="2"/>
      <c r="N78" s="2"/>
      <c r="O78" s="2"/>
    </row>
    <row r="79">
      <c r="A79" s="102">
        <v>5.0</v>
      </c>
      <c r="B79" s="105" t="s">
        <v>135</v>
      </c>
      <c r="C79" s="56" t="s">
        <v>10</v>
      </c>
      <c r="D79" s="106" t="s">
        <v>131</v>
      </c>
      <c r="E79" s="88" t="s">
        <v>27</v>
      </c>
      <c r="F79" s="107"/>
      <c r="G79" s="88" t="s">
        <v>140</v>
      </c>
      <c r="H79" s="2"/>
      <c r="I79" s="2"/>
      <c r="J79" s="2"/>
      <c r="K79" s="2"/>
      <c r="L79" s="2"/>
      <c r="M79" s="2"/>
      <c r="N79" s="2"/>
      <c r="O79" s="2"/>
    </row>
    <row r="80">
      <c r="A80" s="102">
        <v>6.0</v>
      </c>
      <c r="B80" s="100" t="s">
        <v>136</v>
      </c>
      <c r="C80" s="9" t="s">
        <v>10</v>
      </c>
      <c r="D80" s="102" t="s">
        <v>137</v>
      </c>
      <c r="E80" s="57" t="s">
        <v>27</v>
      </c>
      <c r="F80" s="73"/>
      <c r="G80" s="50"/>
      <c r="H80" s="2"/>
      <c r="I80" s="2"/>
      <c r="J80" s="2"/>
      <c r="K80" s="2"/>
      <c r="L80" s="2"/>
      <c r="M80" s="2"/>
      <c r="N80" s="2"/>
      <c r="O80" s="2"/>
    </row>
    <row r="81">
      <c r="A81" s="2"/>
      <c r="B81" s="4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>
      <c r="A82" s="2"/>
      <c r="B82" s="4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>
      <c r="A83" s="2"/>
      <c r="B83" s="4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>
      <c r="A84" s="45" t="s">
        <v>0</v>
      </c>
      <c r="B84" s="45" t="s">
        <v>1</v>
      </c>
      <c r="C84" s="46"/>
      <c r="D84" s="45" t="s">
        <v>3</v>
      </c>
      <c r="E84" s="46"/>
      <c r="F84" s="45" t="s">
        <v>5</v>
      </c>
      <c r="G84" s="47" t="s">
        <v>9</v>
      </c>
      <c r="H84" s="2"/>
      <c r="I84" s="2"/>
      <c r="J84" s="2"/>
      <c r="K84" s="2"/>
      <c r="L84" s="2"/>
      <c r="M84" s="2"/>
      <c r="N84" s="2"/>
      <c r="O84" s="2"/>
    </row>
    <row r="85">
      <c r="A85" s="60">
        <v>1.0</v>
      </c>
      <c r="B85" s="97" t="s">
        <v>141</v>
      </c>
      <c r="C85" s="9" t="s">
        <v>10</v>
      </c>
      <c r="D85" s="57" t="s">
        <v>142</v>
      </c>
      <c r="E85" s="57" t="s">
        <v>29</v>
      </c>
      <c r="F85" s="98">
        <v>1.87E7</v>
      </c>
      <c r="G85" s="57" t="s">
        <v>143</v>
      </c>
      <c r="H85" s="33" t="s">
        <v>144</v>
      </c>
      <c r="I85" s="2"/>
      <c r="J85" s="2"/>
      <c r="K85" s="2"/>
      <c r="L85" s="2"/>
      <c r="M85" s="2"/>
      <c r="N85" s="2"/>
      <c r="O85" s="2"/>
    </row>
    <row r="86">
      <c r="A86" s="60"/>
      <c r="B86" s="6"/>
      <c r="C86" s="8"/>
      <c r="D86" s="50"/>
      <c r="E86" s="50"/>
      <c r="F86" s="62"/>
      <c r="G86" s="48"/>
      <c r="H86" s="2"/>
      <c r="I86" s="2"/>
      <c r="J86" s="2"/>
      <c r="K86" s="2"/>
      <c r="L86" s="2"/>
      <c r="M86" s="2"/>
      <c r="N86" s="2"/>
      <c r="O86" s="2"/>
    </row>
    <row r="87">
      <c r="G87" s="101"/>
      <c r="H87" s="2"/>
      <c r="I87" s="2"/>
      <c r="J87" s="2"/>
      <c r="K87" s="2"/>
      <c r="L87" s="2"/>
      <c r="M87" s="2"/>
      <c r="N87" s="2"/>
      <c r="O87" s="2"/>
    </row>
    <row r="88">
      <c r="G88" s="2"/>
      <c r="H88" s="2"/>
      <c r="I88" s="2"/>
      <c r="J88" s="2"/>
      <c r="K88" s="2"/>
      <c r="L88" s="2"/>
      <c r="M88" s="2"/>
      <c r="N88" s="2"/>
      <c r="O88" s="2"/>
    </row>
    <row r="89">
      <c r="A89" s="45" t="s">
        <v>0</v>
      </c>
      <c r="B89" s="45" t="s">
        <v>1</v>
      </c>
      <c r="C89" s="46"/>
      <c r="D89" s="45" t="s">
        <v>3</v>
      </c>
      <c r="E89" s="46"/>
      <c r="F89" s="45" t="s">
        <v>5</v>
      </c>
      <c r="G89" s="47" t="s">
        <v>9</v>
      </c>
      <c r="H89" s="2"/>
      <c r="I89" s="2"/>
      <c r="J89" s="2"/>
      <c r="K89" s="2"/>
      <c r="L89" s="2"/>
      <c r="M89" s="2"/>
      <c r="N89" s="2"/>
      <c r="O89" s="2"/>
    </row>
    <row r="90">
      <c r="A90" s="77">
        <v>2.0</v>
      </c>
      <c r="B90" s="97" t="s">
        <v>149</v>
      </c>
      <c r="C90" s="9" t="s">
        <v>10</v>
      </c>
      <c r="D90" s="57" t="s">
        <v>150</v>
      </c>
      <c r="E90" s="57" t="s">
        <v>147</v>
      </c>
      <c r="F90" s="98">
        <v>1.87E7</v>
      </c>
      <c r="G90" s="57" t="s">
        <v>151</v>
      </c>
      <c r="H90" s="2"/>
      <c r="I90" s="2"/>
      <c r="J90" s="2"/>
      <c r="K90" s="2"/>
      <c r="L90" s="2"/>
      <c r="M90" s="2"/>
      <c r="N90" s="2"/>
      <c r="O90" s="2"/>
    </row>
    <row r="91">
      <c r="A91" s="65">
        <v>3.0</v>
      </c>
      <c r="B91" s="66" t="s">
        <v>191</v>
      </c>
      <c r="C91" s="140" t="s">
        <v>15</v>
      </c>
      <c r="D91" s="126" t="s">
        <v>150</v>
      </c>
      <c r="E91" s="126" t="s">
        <v>147</v>
      </c>
      <c r="F91" s="141"/>
      <c r="G91" s="126" t="s">
        <v>192</v>
      </c>
      <c r="H91" s="2"/>
      <c r="I91" s="2"/>
      <c r="J91" s="2"/>
      <c r="K91" s="2"/>
      <c r="L91" s="2"/>
      <c r="M91" s="2"/>
      <c r="N91" s="2"/>
      <c r="O91" s="2"/>
    </row>
    <row r="92">
      <c r="G92" s="2"/>
      <c r="H92" s="2"/>
      <c r="I92" s="2"/>
      <c r="J92" s="2"/>
      <c r="K92" s="2"/>
      <c r="L92" s="2"/>
      <c r="M92" s="2"/>
      <c r="N92" s="2"/>
      <c r="O92" s="2"/>
    </row>
    <row r="93">
      <c r="A93" s="45" t="s">
        <v>0</v>
      </c>
      <c r="B93" s="45" t="s">
        <v>1</v>
      </c>
      <c r="C93" s="46"/>
      <c r="D93" s="45" t="s">
        <v>3</v>
      </c>
      <c r="E93" s="108"/>
      <c r="F93" s="1" t="s">
        <v>5</v>
      </c>
      <c r="G93" s="47" t="s">
        <v>9</v>
      </c>
      <c r="H93" s="2"/>
      <c r="I93" s="2"/>
      <c r="J93" s="2"/>
      <c r="K93" s="2"/>
      <c r="L93" s="2"/>
      <c r="M93" s="2"/>
      <c r="N93" s="2"/>
      <c r="O93" s="2"/>
    </row>
    <row r="94">
      <c r="A94" s="60">
        <v>1.0</v>
      </c>
      <c r="B94" s="109" t="s">
        <v>152</v>
      </c>
      <c r="C94" s="110" t="s">
        <v>10</v>
      </c>
      <c r="D94" s="111" t="s">
        <v>153</v>
      </c>
      <c r="E94" s="57" t="s">
        <v>154</v>
      </c>
      <c r="F94" s="98">
        <v>1.87E7</v>
      </c>
      <c r="G94" s="57" t="s">
        <v>155</v>
      </c>
      <c r="H94" s="2"/>
      <c r="I94" s="2"/>
      <c r="J94" s="2"/>
      <c r="K94" s="2"/>
      <c r="L94" s="2"/>
      <c r="M94" s="2"/>
      <c r="N94" s="2"/>
      <c r="O94" s="2"/>
    </row>
    <row r="95">
      <c r="A95" s="77">
        <v>2.0</v>
      </c>
      <c r="B95" s="109" t="s">
        <v>156</v>
      </c>
      <c r="C95" s="110" t="s">
        <v>10</v>
      </c>
      <c r="D95" s="112" t="s">
        <v>157</v>
      </c>
      <c r="E95" s="57" t="s">
        <v>154</v>
      </c>
      <c r="F95" s="98">
        <v>1.87E7</v>
      </c>
      <c r="G95" s="57" t="s">
        <v>158</v>
      </c>
      <c r="H95" s="2"/>
      <c r="I95" s="2"/>
      <c r="J95" s="2"/>
      <c r="K95" s="2"/>
      <c r="L95" s="2"/>
      <c r="M95" s="2"/>
      <c r="N95" s="2"/>
      <c r="O95" s="2"/>
    </row>
    <row r="96">
      <c r="A96" s="57">
        <v>3.0</v>
      </c>
      <c r="B96" s="109" t="s">
        <v>159</v>
      </c>
      <c r="C96" s="110" t="s">
        <v>10</v>
      </c>
      <c r="D96" s="62" t="s">
        <v>160</v>
      </c>
      <c r="E96" s="57" t="s">
        <v>154</v>
      </c>
      <c r="F96" s="98">
        <v>1.87E7</v>
      </c>
      <c r="G96" s="57" t="s">
        <v>158</v>
      </c>
      <c r="H96" s="2"/>
      <c r="I96" s="2"/>
      <c r="J96" s="2"/>
      <c r="K96" s="2"/>
      <c r="L96" s="2"/>
      <c r="M96" s="2"/>
      <c r="N96" s="2"/>
      <c r="O96" s="2"/>
    </row>
    <row r="97">
      <c r="A97" s="57">
        <v>4.0</v>
      </c>
      <c r="B97" s="91" t="s">
        <v>161</v>
      </c>
      <c r="C97" s="142" t="s">
        <v>10</v>
      </c>
      <c r="D97" s="129" t="s">
        <v>162</v>
      </c>
      <c r="E97" s="130" t="s">
        <v>154</v>
      </c>
      <c r="F97" s="132">
        <v>1.87E7</v>
      </c>
      <c r="G97" s="130" t="s">
        <v>194</v>
      </c>
      <c r="H97" s="2"/>
      <c r="I97" s="2"/>
      <c r="J97" s="2"/>
      <c r="K97" s="2"/>
      <c r="L97" s="2"/>
      <c r="M97" s="2"/>
      <c r="N97" s="2"/>
      <c r="O97" s="2"/>
    </row>
    <row r="98">
      <c r="A98" s="57">
        <v>5.0</v>
      </c>
      <c r="B98" s="109" t="s">
        <v>163</v>
      </c>
      <c r="C98" s="110" t="s">
        <v>10</v>
      </c>
      <c r="D98" s="50" t="s">
        <v>162</v>
      </c>
      <c r="E98" s="57" t="s">
        <v>154</v>
      </c>
      <c r="F98" s="98">
        <v>1.87E7</v>
      </c>
      <c r="G98" s="57" t="s">
        <v>158</v>
      </c>
      <c r="H98" s="2"/>
      <c r="I98" s="2"/>
      <c r="J98" s="2"/>
      <c r="K98" s="2"/>
      <c r="L98" s="2"/>
      <c r="M98" s="2"/>
      <c r="N98" s="2"/>
      <c r="O98" s="2"/>
    </row>
    <row r="99">
      <c r="A99" s="57">
        <v>6.0</v>
      </c>
      <c r="B99" s="109" t="s">
        <v>164</v>
      </c>
      <c r="C99" s="110" t="s">
        <v>10</v>
      </c>
      <c r="D99" s="62" t="s">
        <v>165</v>
      </c>
      <c r="E99" s="57" t="s">
        <v>154</v>
      </c>
      <c r="F99" s="98">
        <v>1.87E7</v>
      </c>
      <c r="G99" s="57" t="s">
        <v>158</v>
      </c>
      <c r="H99" s="2"/>
      <c r="I99" s="2"/>
      <c r="J99" s="2"/>
      <c r="K99" s="2"/>
      <c r="L99" s="2"/>
      <c r="M99" s="2"/>
      <c r="N99" s="2"/>
      <c r="O99" s="2"/>
    </row>
    <row r="100">
      <c r="A100" s="57">
        <v>7.0</v>
      </c>
      <c r="B100" s="109" t="s">
        <v>166</v>
      </c>
      <c r="C100" s="110" t="s">
        <v>10</v>
      </c>
      <c r="D100" s="50" t="s">
        <v>165</v>
      </c>
      <c r="E100" s="57" t="s">
        <v>154</v>
      </c>
      <c r="F100" s="98">
        <v>1.87E7</v>
      </c>
      <c r="G100" s="57" t="s">
        <v>167</v>
      </c>
      <c r="H100" s="2"/>
      <c r="I100" s="2"/>
      <c r="J100" s="2"/>
      <c r="K100" s="2"/>
      <c r="L100" s="2"/>
      <c r="M100" s="2"/>
      <c r="N100" s="2"/>
      <c r="O100" s="2"/>
    </row>
    <row r="101">
      <c r="A101" s="57">
        <v>8.0</v>
      </c>
      <c r="B101" s="109" t="s">
        <v>168</v>
      </c>
      <c r="C101" s="110" t="s">
        <v>10</v>
      </c>
      <c r="D101" s="50" t="s">
        <v>169</v>
      </c>
      <c r="E101" s="57" t="s">
        <v>154</v>
      </c>
      <c r="F101" s="98">
        <v>1.87E7</v>
      </c>
      <c r="G101" s="57" t="s">
        <v>158</v>
      </c>
      <c r="H101" s="2"/>
      <c r="I101" s="2"/>
      <c r="J101" s="2"/>
      <c r="K101" s="2"/>
      <c r="L101" s="2"/>
      <c r="M101" s="2"/>
      <c r="N101" s="2"/>
      <c r="O101" s="2"/>
    </row>
    <row r="102">
      <c r="A102" s="57">
        <v>9.0</v>
      </c>
      <c r="B102" s="109" t="s">
        <v>170</v>
      </c>
      <c r="C102" s="110" t="s">
        <v>10</v>
      </c>
      <c r="D102" s="50" t="s">
        <v>169</v>
      </c>
      <c r="E102" s="57" t="s">
        <v>154</v>
      </c>
      <c r="F102" s="98">
        <v>1.87E7</v>
      </c>
      <c r="G102" s="57" t="s">
        <v>158</v>
      </c>
      <c r="H102" s="2"/>
      <c r="I102" s="2"/>
      <c r="J102" s="2"/>
      <c r="K102" s="2"/>
      <c r="L102" s="2"/>
      <c r="M102" s="2"/>
      <c r="N102" s="2"/>
      <c r="O102" s="2"/>
    </row>
    <row r="103">
      <c r="A103" s="57">
        <v>10.0</v>
      </c>
      <c r="B103" s="102" t="s">
        <v>195</v>
      </c>
      <c r="C103" s="143" t="s">
        <v>10</v>
      </c>
      <c r="D103" s="50" t="s">
        <v>162</v>
      </c>
      <c r="E103" s="57" t="s">
        <v>154</v>
      </c>
      <c r="F103" s="98"/>
      <c r="G103" s="50"/>
      <c r="H103" s="2"/>
      <c r="I103" s="2"/>
      <c r="J103" s="2"/>
      <c r="K103" s="2"/>
      <c r="L103" s="2"/>
      <c r="M103" s="2"/>
      <c r="N103" s="2"/>
      <c r="O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>
      <c r="A106" s="45" t="s">
        <v>0</v>
      </c>
      <c r="B106" s="45" t="s">
        <v>1</v>
      </c>
      <c r="C106" s="46"/>
      <c r="D106" s="45" t="s">
        <v>3</v>
      </c>
      <c r="E106" s="108"/>
      <c r="F106" s="1" t="s">
        <v>5</v>
      </c>
      <c r="G106" s="47" t="s">
        <v>9</v>
      </c>
      <c r="H106" s="2"/>
      <c r="I106" s="2"/>
      <c r="J106" s="2"/>
      <c r="K106" s="2"/>
      <c r="L106" s="2"/>
      <c r="M106" s="2"/>
      <c r="N106" s="2"/>
      <c r="O106" s="2"/>
    </row>
    <row r="107">
      <c r="A107" s="33">
        <v>1.0</v>
      </c>
      <c r="B107" s="144" t="s">
        <v>100</v>
      </c>
      <c r="C107" s="70" t="s">
        <v>10</v>
      </c>
      <c r="D107" s="144" t="s">
        <v>196</v>
      </c>
      <c r="E107" s="57" t="s">
        <v>197</v>
      </c>
      <c r="F107" s="2"/>
      <c r="G107" s="145" t="s">
        <v>198</v>
      </c>
      <c r="H107" s="2"/>
      <c r="I107" s="2"/>
      <c r="J107" s="2"/>
      <c r="K107" s="2"/>
      <c r="L107" s="2"/>
      <c r="M107" s="2"/>
      <c r="N107" s="2"/>
      <c r="O107" s="2"/>
    </row>
    <row r="108">
      <c r="A108" s="33">
        <v>2.0</v>
      </c>
      <c r="B108" s="67" t="s">
        <v>199</v>
      </c>
      <c r="C108" s="70" t="s">
        <v>10</v>
      </c>
      <c r="D108" s="144" t="s">
        <v>200</v>
      </c>
      <c r="E108" s="57" t="s">
        <v>197</v>
      </c>
      <c r="F108" s="2"/>
      <c r="G108" s="145" t="s">
        <v>201</v>
      </c>
      <c r="H108" s="2"/>
      <c r="I108" s="2"/>
      <c r="J108" s="2"/>
      <c r="K108" s="2"/>
      <c r="L108" s="2"/>
      <c r="M108" s="2"/>
      <c r="N108" s="2"/>
      <c r="O108" s="2"/>
    </row>
    <row r="109">
      <c r="A109" s="33">
        <v>3.0</v>
      </c>
      <c r="B109" s="129" t="s">
        <v>203</v>
      </c>
      <c r="C109" s="70" t="s">
        <v>10</v>
      </c>
      <c r="D109" s="129" t="s">
        <v>204</v>
      </c>
      <c r="E109" s="57" t="s">
        <v>197</v>
      </c>
      <c r="F109" s="2"/>
      <c r="G109" s="147" t="s">
        <v>206</v>
      </c>
      <c r="H109" s="2"/>
      <c r="I109" s="2"/>
      <c r="J109" s="2"/>
      <c r="K109" s="2"/>
      <c r="L109" s="2"/>
      <c r="M109" s="2"/>
      <c r="N109" s="2"/>
      <c r="O109" s="2"/>
    </row>
    <row r="110">
      <c r="A110" s="33">
        <v>4.0</v>
      </c>
      <c r="B110" s="144" t="s">
        <v>208</v>
      </c>
      <c r="C110" s="70" t="s">
        <v>10</v>
      </c>
      <c r="D110" s="144" t="s">
        <v>209</v>
      </c>
      <c r="E110" s="57" t="s">
        <v>197</v>
      </c>
      <c r="F110" s="2"/>
      <c r="G110" s="148" t="s">
        <v>206</v>
      </c>
      <c r="H110" s="2"/>
      <c r="I110" s="2"/>
      <c r="J110" s="2"/>
      <c r="K110" s="2"/>
      <c r="L110" s="2"/>
      <c r="M110" s="2"/>
      <c r="N110" s="2"/>
      <c r="O110" s="2"/>
    </row>
    <row r="111">
      <c r="A111" s="33">
        <v>5.0</v>
      </c>
      <c r="B111" s="67" t="s">
        <v>210</v>
      </c>
      <c r="C111" s="70" t="s">
        <v>10</v>
      </c>
      <c r="D111" s="144" t="s">
        <v>209</v>
      </c>
      <c r="E111" s="57" t="s">
        <v>197</v>
      </c>
      <c r="F111" s="2"/>
      <c r="G111" s="148" t="s">
        <v>206</v>
      </c>
      <c r="H111" s="2"/>
      <c r="I111" s="2"/>
      <c r="J111" s="2"/>
      <c r="K111" s="2"/>
      <c r="L111" s="2"/>
      <c r="M111" s="2"/>
      <c r="N111" s="2"/>
      <c r="O111" s="2"/>
    </row>
    <row r="112">
      <c r="A112" s="33">
        <v>6.0</v>
      </c>
      <c r="B112" s="129" t="s">
        <v>211</v>
      </c>
      <c r="C112" s="70" t="s">
        <v>10</v>
      </c>
      <c r="D112" s="129" t="s">
        <v>209</v>
      </c>
      <c r="E112" s="57" t="s">
        <v>197</v>
      </c>
      <c r="F112" s="2"/>
      <c r="G112" s="149">
        <v>46216.0</v>
      </c>
      <c r="H112" s="2"/>
      <c r="I112" s="2"/>
      <c r="J112" s="2"/>
      <c r="K112" s="2"/>
      <c r="L112" s="2"/>
      <c r="M112" s="2"/>
      <c r="N112" s="2"/>
      <c r="O112" s="2"/>
    </row>
    <row r="113">
      <c r="A113" s="33">
        <v>7.0</v>
      </c>
      <c r="B113" s="129" t="s">
        <v>212</v>
      </c>
      <c r="C113" s="70" t="s">
        <v>10</v>
      </c>
      <c r="D113" s="129" t="s">
        <v>209</v>
      </c>
      <c r="E113" s="57" t="s">
        <v>197</v>
      </c>
      <c r="F113" s="2"/>
      <c r="G113" s="149">
        <v>46212.0</v>
      </c>
      <c r="H113" s="2"/>
      <c r="I113" s="2"/>
      <c r="J113" s="2"/>
      <c r="K113" s="2"/>
      <c r="L113" s="2"/>
      <c r="M113" s="2"/>
      <c r="N113" s="2"/>
      <c r="O113" s="2"/>
    </row>
    <row r="114">
      <c r="A114" s="33">
        <v>8.0</v>
      </c>
      <c r="B114" s="67" t="s">
        <v>213</v>
      </c>
      <c r="C114" s="70" t="s">
        <v>10</v>
      </c>
      <c r="D114" s="144" t="s">
        <v>209</v>
      </c>
      <c r="E114" s="57" t="s">
        <v>197</v>
      </c>
      <c r="F114" s="2"/>
      <c r="G114" s="149">
        <v>46204.0</v>
      </c>
      <c r="H114" s="2"/>
      <c r="I114" s="2"/>
      <c r="J114" s="2"/>
      <c r="K114" s="2"/>
      <c r="L114" s="2"/>
      <c r="M114" s="2"/>
      <c r="N114" s="2"/>
      <c r="O114" s="2"/>
    </row>
    <row r="115">
      <c r="A115" s="2"/>
      <c r="B115" s="2"/>
      <c r="C115" s="2"/>
      <c r="D115" s="2"/>
      <c r="E115" s="2"/>
      <c r="F115" s="2"/>
      <c r="H115" s="2"/>
      <c r="I115" s="2"/>
      <c r="J115" s="2"/>
      <c r="K115" s="2"/>
      <c r="L115" s="2"/>
      <c r="M115" s="2"/>
      <c r="N115" s="2"/>
      <c r="O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2.75"/>
    <col customWidth="1" min="3" max="3" width="8.5"/>
    <col customWidth="1" min="4" max="4" width="19.88"/>
    <col customWidth="1" min="5" max="5" width="29.13"/>
    <col customWidth="1" hidden="1" min="6" max="6" width="17.38"/>
    <col customWidth="1" min="7" max="7" width="20.88"/>
    <col customWidth="1" min="9" max="9" width="31.88"/>
    <col customWidth="1" min="10" max="10" width="1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9</v>
      </c>
      <c r="H1" s="2"/>
      <c r="I1" s="3" t="s">
        <v>6</v>
      </c>
      <c r="J1" s="3" t="s">
        <v>7</v>
      </c>
      <c r="K1" s="2"/>
      <c r="L1" s="4"/>
      <c r="M1" s="4"/>
      <c r="N1" s="4"/>
      <c r="O1" s="2"/>
    </row>
    <row r="2">
      <c r="A2" s="5">
        <v>1.0</v>
      </c>
      <c r="B2" s="6" t="s">
        <v>31</v>
      </c>
      <c r="C2" s="8" t="s">
        <v>15</v>
      </c>
      <c r="D2" s="9" t="s">
        <v>32</v>
      </c>
      <c r="E2" s="8" t="s">
        <v>33</v>
      </c>
      <c r="F2" s="10">
        <v>2.2387E7</v>
      </c>
      <c r="G2" s="29" t="s">
        <v>41</v>
      </c>
      <c r="H2" s="11"/>
      <c r="I2" s="12" t="s">
        <v>13</v>
      </c>
      <c r="J2" s="14">
        <v>1.0</v>
      </c>
      <c r="K2" s="11"/>
      <c r="L2" s="11"/>
      <c r="M2" s="15"/>
      <c r="N2" s="11"/>
      <c r="O2" s="2"/>
    </row>
    <row r="3">
      <c r="A3" s="5">
        <v>2.0</v>
      </c>
      <c r="B3" s="26"/>
      <c r="C3" s="9"/>
      <c r="D3" s="9"/>
      <c r="E3" s="9"/>
      <c r="F3" s="10"/>
      <c r="G3" s="98"/>
      <c r="H3" s="11"/>
      <c r="I3" s="12" t="s">
        <v>17</v>
      </c>
      <c r="J3" s="14">
        <v>2.0</v>
      </c>
      <c r="K3" s="11"/>
      <c r="L3" s="11"/>
      <c r="M3" s="11"/>
      <c r="N3" s="11"/>
      <c r="O3" s="2"/>
    </row>
    <row r="4">
      <c r="A4" s="5">
        <v>3.0</v>
      </c>
      <c r="B4" s="116"/>
      <c r="C4" s="8"/>
      <c r="D4" s="20"/>
      <c r="E4" s="20"/>
      <c r="F4" s="10"/>
      <c r="G4" s="17"/>
      <c r="H4" s="11"/>
      <c r="I4" s="12" t="s">
        <v>20</v>
      </c>
      <c r="J4" s="14">
        <v>2.0</v>
      </c>
      <c r="K4" s="11"/>
      <c r="L4" s="11"/>
      <c r="M4" s="11"/>
      <c r="N4" s="11"/>
      <c r="O4" s="2"/>
    </row>
    <row r="5">
      <c r="A5" s="5">
        <v>4.0</v>
      </c>
      <c r="B5" s="26"/>
      <c r="C5" s="8"/>
      <c r="D5" s="9"/>
      <c r="E5" s="9"/>
      <c r="F5" s="10"/>
      <c r="G5" s="25"/>
      <c r="H5" s="11"/>
      <c r="I5" s="131" t="s">
        <v>23</v>
      </c>
      <c r="J5" s="117">
        <v>0.0</v>
      </c>
      <c r="K5" s="11"/>
      <c r="L5" s="11"/>
      <c r="M5" s="11"/>
      <c r="N5" s="11"/>
      <c r="O5" s="2"/>
    </row>
    <row r="6">
      <c r="A6" s="5">
        <v>5.0</v>
      </c>
      <c r="B6" s="26"/>
      <c r="C6" s="8"/>
      <c r="D6" s="9"/>
      <c r="E6" s="9"/>
      <c r="F6" s="10"/>
      <c r="G6" s="17"/>
      <c r="H6" s="11"/>
      <c r="I6" s="22" t="s">
        <v>27</v>
      </c>
      <c r="J6" s="14">
        <v>9.0</v>
      </c>
      <c r="K6" s="11"/>
      <c r="L6" s="11"/>
      <c r="M6" s="11"/>
      <c r="N6" s="11"/>
      <c r="O6" s="2"/>
    </row>
    <row r="7">
      <c r="A7" s="5">
        <v>6.0</v>
      </c>
      <c r="B7" s="26"/>
      <c r="C7" s="8"/>
      <c r="D7" s="9"/>
      <c r="E7" s="8"/>
      <c r="F7" s="10"/>
      <c r="G7" s="29"/>
      <c r="H7" s="11"/>
      <c r="I7" s="23" t="s">
        <v>29</v>
      </c>
      <c r="J7" s="14">
        <v>1.0</v>
      </c>
      <c r="K7" s="11"/>
      <c r="L7" s="11"/>
      <c r="M7" s="11"/>
      <c r="N7" s="11"/>
      <c r="O7" s="2"/>
    </row>
    <row r="8">
      <c r="A8" s="5">
        <v>7.0</v>
      </c>
      <c r="B8" s="26"/>
      <c r="C8" s="8"/>
      <c r="D8" s="20"/>
      <c r="E8" s="9"/>
      <c r="F8" s="10"/>
      <c r="G8" s="17"/>
      <c r="H8" s="11"/>
      <c r="I8" s="91" t="s">
        <v>34</v>
      </c>
      <c r="J8" s="117">
        <v>0.0</v>
      </c>
      <c r="K8" s="11"/>
      <c r="L8" s="11"/>
      <c r="M8" s="11"/>
      <c r="N8" s="11"/>
      <c r="O8" s="2"/>
    </row>
    <row r="9">
      <c r="A9" s="5">
        <v>8.0</v>
      </c>
      <c r="B9" s="26"/>
      <c r="C9" s="8"/>
      <c r="D9" s="9"/>
      <c r="E9" s="8"/>
      <c r="F9" s="10"/>
      <c r="G9" s="37"/>
      <c r="H9" s="11"/>
      <c r="I9" s="23" t="s">
        <v>38</v>
      </c>
      <c r="J9" s="14">
        <v>5.0</v>
      </c>
      <c r="K9" s="11"/>
      <c r="L9" s="11"/>
      <c r="M9" s="11"/>
      <c r="N9" s="11"/>
      <c r="O9" s="2"/>
    </row>
    <row r="10">
      <c r="A10" s="5">
        <v>9.0</v>
      </c>
      <c r="B10" s="30"/>
      <c r="C10" s="8"/>
      <c r="D10" s="9"/>
      <c r="E10" s="9"/>
      <c r="F10" s="10"/>
      <c r="G10" s="25"/>
      <c r="H10" s="11"/>
      <c r="I10" s="23" t="s">
        <v>40</v>
      </c>
      <c r="J10" s="14">
        <v>2.0</v>
      </c>
      <c r="K10" s="28"/>
      <c r="L10" s="28"/>
      <c r="M10" s="28"/>
      <c r="N10" s="28"/>
      <c r="O10" s="2"/>
    </row>
    <row r="11">
      <c r="A11" s="5"/>
      <c r="B11" s="73"/>
      <c r="C11" s="73"/>
      <c r="D11" s="73"/>
      <c r="E11" s="73"/>
      <c r="F11" s="73"/>
      <c r="G11" s="73"/>
      <c r="H11" s="11"/>
      <c r="I11" s="23" t="s">
        <v>175</v>
      </c>
      <c r="J11" s="32">
        <v>12.0</v>
      </c>
      <c r="K11" s="28"/>
      <c r="L11" s="28"/>
      <c r="M11" s="28"/>
      <c r="N11" s="28"/>
      <c r="O11" s="2"/>
    </row>
    <row r="12">
      <c r="A12" s="113"/>
      <c r="H12" s="11"/>
      <c r="I12" s="23" t="s">
        <v>171</v>
      </c>
      <c r="J12" s="32">
        <v>2.0</v>
      </c>
      <c r="K12" s="28"/>
      <c r="L12" s="28"/>
      <c r="M12" s="28"/>
      <c r="N12" s="28"/>
      <c r="O12" s="2"/>
    </row>
    <row r="13">
      <c r="A13" s="2"/>
      <c r="B13" s="33"/>
      <c r="C13" s="33"/>
      <c r="D13" s="2"/>
      <c r="E13" s="2"/>
      <c r="F13" s="35"/>
      <c r="G13" s="2"/>
      <c r="H13" s="11"/>
      <c r="I13" s="23" t="s">
        <v>48</v>
      </c>
      <c r="J13" s="32">
        <v>2.0</v>
      </c>
      <c r="K13" s="2"/>
      <c r="L13" s="2"/>
      <c r="M13" s="2"/>
      <c r="N13" s="2"/>
      <c r="O13" s="2"/>
    </row>
    <row r="14">
      <c r="A14" s="2"/>
      <c r="B14" s="33"/>
      <c r="C14" s="33"/>
      <c r="D14" s="2"/>
      <c r="E14" s="2"/>
      <c r="F14" s="35"/>
      <c r="G14" s="2"/>
      <c r="H14" s="11"/>
      <c r="I14" s="23" t="s">
        <v>49</v>
      </c>
      <c r="J14" s="32">
        <v>9.0</v>
      </c>
      <c r="K14" s="2"/>
      <c r="L14" s="2"/>
      <c r="M14" s="2"/>
      <c r="N14" s="2"/>
      <c r="O14" s="2"/>
    </row>
    <row r="15">
      <c r="A15" s="2"/>
      <c r="B15" s="33"/>
      <c r="C15" s="33"/>
      <c r="D15" s="2"/>
      <c r="E15" s="2"/>
      <c r="F15" s="35"/>
      <c r="G15" s="2"/>
      <c r="H15" s="11"/>
      <c r="I15" s="23" t="s">
        <v>178</v>
      </c>
      <c r="J15" s="120">
        <v>8.0</v>
      </c>
      <c r="K15" s="2"/>
      <c r="L15" s="2"/>
      <c r="M15" s="2"/>
      <c r="N15" s="2"/>
      <c r="O15" s="2"/>
    </row>
    <row r="16">
      <c r="A16" s="2"/>
      <c r="B16" s="33" t="s">
        <v>44</v>
      </c>
      <c r="C16" s="33">
        <v>2.0</v>
      </c>
      <c r="D16" s="2"/>
      <c r="E16" s="33" t="s">
        <v>179</v>
      </c>
      <c r="F16" s="35"/>
      <c r="G16" s="2"/>
      <c r="H16" s="11"/>
      <c r="I16" s="38" t="s">
        <v>46</v>
      </c>
      <c r="J16" s="43">
        <f>SUM(J2:J15)</f>
        <v>55</v>
      </c>
      <c r="K16" s="2"/>
      <c r="L16" s="2"/>
      <c r="M16" s="2"/>
      <c r="N16" s="2"/>
      <c r="O16" s="2"/>
    </row>
    <row r="17">
      <c r="A17" s="44"/>
      <c r="B17" s="44"/>
      <c r="C17" s="44"/>
      <c r="D17" s="2"/>
      <c r="E17" s="2"/>
      <c r="F17" s="2"/>
      <c r="G17" s="2"/>
      <c r="H17" s="11"/>
      <c r="K17" s="2"/>
      <c r="L17" s="2"/>
      <c r="M17" s="2"/>
      <c r="N17" s="2"/>
      <c r="O17" s="2"/>
    </row>
    <row r="18">
      <c r="A18" s="44"/>
      <c r="B18" s="44"/>
      <c r="C18" s="44"/>
      <c r="D18" s="2"/>
      <c r="E18" s="2"/>
      <c r="F18" s="2"/>
      <c r="G18" s="2"/>
      <c r="H18" s="11"/>
      <c r="I18" s="2"/>
      <c r="J18" s="2"/>
      <c r="K18" s="2"/>
      <c r="L18" s="2"/>
      <c r="M18" s="2"/>
      <c r="N18" s="2"/>
      <c r="O18" s="2"/>
    </row>
    <row r="19">
      <c r="A19" s="44"/>
      <c r="B19" s="44"/>
      <c r="C19" s="44"/>
      <c r="D19" s="2"/>
      <c r="E19" s="2"/>
      <c r="F19" s="2"/>
      <c r="G19" s="2"/>
      <c r="H19" s="11"/>
      <c r="K19" s="2"/>
      <c r="L19" s="2"/>
      <c r="M19" s="2"/>
      <c r="N19" s="2"/>
      <c r="O19" s="2"/>
    </row>
    <row r="20">
      <c r="A20" s="45" t="s">
        <v>0</v>
      </c>
      <c r="B20" s="45" t="s">
        <v>1</v>
      </c>
      <c r="C20" s="45" t="s">
        <v>2</v>
      </c>
      <c r="D20" s="45" t="s">
        <v>3</v>
      </c>
      <c r="E20" s="46"/>
      <c r="F20" s="45" t="s">
        <v>5</v>
      </c>
      <c r="G20" s="47" t="s">
        <v>9</v>
      </c>
      <c r="H20" s="11"/>
      <c r="I20" s="44"/>
      <c r="J20" s="2"/>
      <c r="K20" s="2"/>
      <c r="L20" s="2"/>
      <c r="M20" s="2"/>
      <c r="N20" s="2"/>
      <c r="O20" s="2"/>
    </row>
    <row r="21">
      <c r="A21" s="48">
        <v>1.0</v>
      </c>
      <c r="B21" s="6" t="s">
        <v>51</v>
      </c>
      <c r="C21" s="6" t="s">
        <v>10</v>
      </c>
      <c r="D21" s="49" t="s">
        <v>52</v>
      </c>
      <c r="E21" s="9" t="s">
        <v>53</v>
      </c>
      <c r="F21" s="48" t="s">
        <v>54</v>
      </c>
      <c r="G21" s="50"/>
      <c r="H21" s="11"/>
      <c r="I21" s="51"/>
      <c r="J21" s="2"/>
      <c r="K21" s="2"/>
      <c r="L21" s="2"/>
      <c r="M21" s="2"/>
      <c r="N21" s="2"/>
      <c r="O21" s="2"/>
    </row>
    <row r="22">
      <c r="A22" s="48">
        <v>2.0</v>
      </c>
      <c r="B22" s="26" t="s">
        <v>56</v>
      </c>
      <c r="C22" s="6" t="s">
        <v>10</v>
      </c>
      <c r="D22" s="49" t="s">
        <v>52</v>
      </c>
      <c r="E22" s="9" t="s">
        <v>53</v>
      </c>
      <c r="F22" s="48" t="s">
        <v>54</v>
      </c>
      <c r="G22" s="50"/>
      <c r="H22" s="11"/>
      <c r="I22" s="51"/>
      <c r="J22" s="2"/>
      <c r="K22" s="2"/>
      <c r="L22" s="2"/>
      <c r="M22" s="2"/>
      <c r="N22" s="2"/>
      <c r="O22" s="2"/>
    </row>
    <row r="23">
      <c r="A23" s="48">
        <v>3.0</v>
      </c>
      <c r="B23" s="26" t="s">
        <v>57</v>
      </c>
      <c r="C23" s="6" t="s">
        <v>10</v>
      </c>
      <c r="D23" s="49" t="s">
        <v>52</v>
      </c>
      <c r="E23" s="9" t="s">
        <v>53</v>
      </c>
      <c r="F23" s="48" t="s">
        <v>54</v>
      </c>
      <c r="G23" s="50"/>
      <c r="H23" s="11"/>
      <c r="I23" s="51"/>
      <c r="J23" s="2"/>
      <c r="K23" s="2"/>
      <c r="L23" s="2"/>
      <c r="M23" s="2"/>
      <c r="N23" s="2"/>
      <c r="O23" s="2"/>
    </row>
    <row r="24">
      <c r="A24" s="48">
        <v>4.0</v>
      </c>
      <c r="B24" s="121" t="s">
        <v>60</v>
      </c>
      <c r="C24" s="121" t="s">
        <v>10</v>
      </c>
      <c r="D24" s="68" t="s">
        <v>52</v>
      </c>
      <c r="E24" s="69" t="s">
        <v>53</v>
      </c>
      <c r="F24" s="48" t="s">
        <v>54</v>
      </c>
      <c r="G24" s="57" t="s">
        <v>181</v>
      </c>
      <c r="H24" s="11"/>
      <c r="I24" s="58"/>
      <c r="J24" s="2"/>
      <c r="K24" s="2"/>
      <c r="L24" s="2"/>
      <c r="M24" s="2"/>
      <c r="N24" s="2"/>
      <c r="O24" s="2"/>
    </row>
    <row r="25">
      <c r="A25" s="48">
        <v>5.0</v>
      </c>
      <c r="B25" s="26" t="s">
        <v>61</v>
      </c>
      <c r="C25" s="6" t="s">
        <v>10</v>
      </c>
      <c r="D25" s="49" t="s">
        <v>52</v>
      </c>
      <c r="E25" s="9" t="s">
        <v>53</v>
      </c>
      <c r="F25" s="48" t="s">
        <v>54</v>
      </c>
      <c r="G25" s="50"/>
      <c r="H25" s="11"/>
      <c r="I25" s="58"/>
      <c r="J25" s="2"/>
      <c r="K25" s="2"/>
      <c r="L25" s="2"/>
      <c r="M25" s="2"/>
      <c r="N25" s="2"/>
      <c r="O25" s="2"/>
    </row>
    <row r="26">
      <c r="A26" s="48">
        <v>6.0</v>
      </c>
      <c r="B26" s="26" t="s">
        <v>62</v>
      </c>
      <c r="C26" s="6" t="s">
        <v>10</v>
      </c>
      <c r="D26" s="49" t="s">
        <v>52</v>
      </c>
      <c r="E26" s="9" t="s">
        <v>53</v>
      </c>
      <c r="F26" s="48" t="s">
        <v>54</v>
      </c>
      <c r="G26" s="50"/>
      <c r="H26" s="11"/>
      <c r="I26" s="59"/>
      <c r="J26" s="2"/>
      <c r="K26" s="2"/>
      <c r="L26" s="2"/>
      <c r="M26" s="2"/>
      <c r="N26" s="2"/>
      <c r="O26" s="2"/>
    </row>
    <row r="27">
      <c r="A27" s="48">
        <v>7.0</v>
      </c>
      <c r="B27" s="26" t="s">
        <v>64</v>
      </c>
      <c r="C27" s="6" t="s">
        <v>10</v>
      </c>
      <c r="D27" s="49" t="s">
        <v>52</v>
      </c>
      <c r="E27" s="9" t="s">
        <v>53</v>
      </c>
      <c r="F27" s="48" t="s">
        <v>54</v>
      </c>
      <c r="G27" s="50"/>
      <c r="H27" s="11"/>
      <c r="I27" s="59"/>
      <c r="J27" s="2"/>
      <c r="K27" s="2"/>
      <c r="L27" s="2"/>
      <c r="M27" s="2"/>
      <c r="N27" s="2"/>
      <c r="O27" s="2"/>
    </row>
    <row r="28">
      <c r="A28" s="48">
        <v>8.0</v>
      </c>
      <c r="B28" s="26" t="s">
        <v>65</v>
      </c>
      <c r="C28" s="6" t="s">
        <v>10</v>
      </c>
      <c r="D28" s="49" t="s">
        <v>52</v>
      </c>
      <c r="E28" s="9" t="s">
        <v>53</v>
      </c>
      <c r="F28" s="48" t="s">
        <v>54</v>
      </c>
      <c r="G28" s="50"/>
      <c r="H28" s="11"/>
      <c r="I28" s="2"/>
      <c r="J28" s="2"/>
      <c r="K28" s="2"/>
      <c r="L28" s="2"/>
      <c r="M28" s="2"/>
      <c r="N28" s="2"/>
      <c r="O28" s="2"/>
    </row>
    <row r="29">
      <c r="A29" s="48">
        <v>9.0</v>
      </c>
      <c r="B29" s="26" t="s">
        <v>66</v>
      </c>
      <c r="C29" s="6" t="s">
        <v>10</v>
      </c>
      <c r="D29" s="49" t="s">
        <v>52</v>
      </c>
      <c r="E29" s="9" t="s">
        <v>53</v>
      </c>
      <c r="F29" s="48" t="s">
        <v>54</v>
      </c>
      <c r="G29" s="50"/>
      <c r="H29" s="11"/>
      <c r="I29" s="2"/>
      <c r="J29" s="2"/>
      <c r="K29" s="2"/>
      <c r="L29" s="2"/>
      <c r="M29" s="2"/>
      <c r="N29" s="2"/>
      <c r="O29" s="2"/>
    </row>
    <row r="30">
      <c r="A30" s="48">
        <v>10.0</v>
      </c>
      <c r="B30" s="61" t="s">
        <v>67</v>
      </c>
      <c r="C30" s="6" t="s">
        <v>10</v>
      </c>
      <c r="D30" s="49" t="s">
        <v>52</v>
      </c>
      <c r="E30" s="8" t="s">
        <v>53</v>
      </c>
      <c r="F30" s="48" t="s">
        <v>54</v>
      </c>
      <c r="G30" s="50"/>
      <c r="H30" s="11"/>
      <c r="I30" s="2"/>
      <c r="J30" s="2"/>
      <c r="K30" s="2"/>
      <c r="L30" s="2"/>
      <c r="M30" s="2"/>
      <c r="N30" s="2"/>
      <c r="O30" s="2"/>
    </row>
    <row r="31">
      <c r="A31" s="48">
        <v>11.0</v>
      </c>
      <c r="B31" s="6" t="s">
        <v>68</v>
      </c>
      <c r="C31" s="61" t="s">
        <v>10</v>
      </c>
      <c r="D31" s="49" t="s">
        <v>52</v>
      </c>
      <c r="E31" s="8" t="s">
        <v>53</v>
      </c>
      <c r="F31" s="48" t="s">
        <v>54</v>
      </c>
      <c r="G31" s="50"/>
      <c r="H31" s="11"/>
      <c r="I31" s="2"/>
      <c r="J31" s="2"/>
      <c r="K31" s="2"/>
      <c r="L31" s="2"/>
      <c r="M31" s="2"/>
      <c r="N31" s="2"/>
      <c r="O31" s="2"/>
    </row>
    <row r="32">
      <c r="A32" s="48">
        <v>12.0</v>
      </c>
      <c r="B32" s="97" t="s">
        <v>69</v>
      </c>
      <c r="C32" s="61" t="s">
        <v>10</v>
      </c>
      <c r="D32" s="49" t="s">
        <v>52</v>
      </c>
      <c r="E32" s="8" t="s">
        <v>53</v>
      </c>
      <c r="F32" s="48" t="s">
        <v>54</v>
      </c>
      <c r="G32" s="57" t="s">
        <v>173</v>
      </c>
      <c r="H32" s="11"/>
      <c r="I32" s="2"/>
      <c r="J32" s="2"/>
      <c r="K32" s="2"/>
      <c r="L32" s="2"/>
      <c r="M32" s="2"/>
      <c r="N32" s="2"/>
      <c r="O32" s="2"/>
    </row>
    <row r="33">
      <c r="A33" s="48">
        <v>13.0</v>
      </c>
      <c r="B33" s="118" t="s">
        <v>174</v>
      </c>
      <c r="C33" s="61" t="s">
        <v>10</v>
      </c>
      <c r="D33" s="119" t="s">
        <v>176</v>
      </c>
      <c r="E33" s="8" t="s">
        <v>53</v>
      </c>
      <c r="F33" s="73"/>
      <c r="G33" s="102" t="s">
        <v>177</v>
      </c>
      <c r="H33" s="11"/>
      <c r="I33" s="2"/>
      <c r="J33" s="2"/>
      <c r="K33" s="2"/>
      <c r="L33" s="2"/>
      <c r="M33" s="2"/>
      <c r="N33" s="2"/>
      <c r="O33" s="2"/>
    </row>
    <row r="34">
      <c r="A34" s="48">
        <v>14.0</v>
      </c>
      <c r="B34" s="123" t="s">
        <v>80</v>
      </c>
      <c r="C34" s="67" t="s">
        <v>10</v>
      </c>
      <c r="D34" s="124" t="s">
        <v>176</v>
      </c>
      <c r="E34" s="69" t="s">
        <v>53</v>
      </c>
      <c r="F34" s="125"/>
      <c r="G34" s="123" t="s">
        <v>183</v>
      </c>
      <c r="H34" s="11"/>
      <c r="I34" s="2"/>
      <c r="J34" s="2"/>
      <c r="K34" s="2"/>
      <c r="L34" s="2"/>
      <c r="M34" s="2"/>
      <c r="N34" s="2"/>
      <c r="O34" s="2"/>
    </row>
    <row r="35">
      <c r="A35" s="48"/>
      <c r="B35" s="123" t="s">
        <v>193</v>
      </c>
      <c r="C35" s="67"/>
      <c r="D35" s="124"/>
      <c r="E35" s="69"/>
      <c r="F35" s="125"/>
      <c r="G35" s="123"/>
      <c r="H35" s="11"/>
      <c r="I35" s="2"/>
      <c r="J35" s="2"/>
      <c r="K35" s="2"/>
      <c r="L35" s="2"/>
      <c r="M35" s="2"/>
      <c r="N35" s="2"/>
      <c r="O35" s="2"/>
    </row>
    <row r="36">
      <c r="E36" s="70" t="s">
        <v>74</v>
      </c>
      <c r="H36" s="11"/>
      <c r="I36" s="2"/>
      <c r="J36" s="2"/>
      <c r="K36" s="2"/>
      <c r="L36" s="2"/>
      <c r="M36" s="2"/>
      <c r="N36" s="2"/>
      <c r="O36" s="2"/>
    </row>
    <row r="37">
      <c r="H37" s="11"/>
      <c r="I37" s="2"/>
      <c r="J37" s="2"/>
      <c r="K37" s="2"/>
      <c r="L37" s="2"/>
      <c r="M37" s="2"/>
      <c r="N37" s="2"/>
      <c r="O37" s="2"/>
    </row>
    <row r="38">
      <c r="A38" s="45" t="s">
        <v>0</v>
      </c>
      <c r="B38" s="45" t="s">
        <v>1</v>
      </c>
      <c r="C38" s="45" t="s">
        <v>2</v>
      </c>
      <c r="D38" s="45" t="s">
        <v>3</v>
      </c>
      <c r="E38" s="46"/>
      <c r="F38" s="45" t="s">
        <v>5</v>
      </c>
      <c r="G38" s="47" t="s">
        <v>9</v>
      </c>
      <c r="H38" s="11"/>
      <c r="I38" s="2"/>
      <c r="J38" s="2"/>
      <c r="K38" s="2"/>
      <c r="L38" s="2"/>
      <c r="M38" s="2"/>
      <c r="N38" s="2"/>
      <c r="O38" s="2"/>
    </row>
    <row r="39">
      <c r="A39" s="48">
        <v>1.0</v>
      </c>
      <c r="B39" s="26" t="s">
        <v>71</v>
      </c>
      <c r="C39" s="26" t="s">
        <v>15</v>
      </c>
      <c r="D39" s="50" t="s">
        <v>72</v>
      </c>
      <c r="E39" s="57" t="s">
        <v>77</v>
      </c>
      <c r="F39" s="71">
        <v>2.0E7</v>
      </c>
      <c r="G39" s="73"/>
      <c r="H39" s="11"/>
      <c r="I39" s="2"/>
      <c r="J39" s="2"/>
      <c r="K39" s="2"/>
      <c r="L39" s="2"/>
      <c r="M39" s="2"/>
      <c r="N39" s="2"/>
      <c r="O39" s="2"/>
    </row>
    <row r="40">
      <c r="A40" s="48">
        <v>2.0</v>
      </c>
      <c r="B40" s="26" t="s">
        <v>75</v>
      </c>
      <c r="C40" s="26" t="s">
        <v>15</v>
      </c>
      <c r="D40" s="50" t="s">
        <v>72</v>
      </c>
      <c r="E40" s="57" t="s">
        <v>79</v>
      </c>
      <c r="F40" s="71">
        <v>2.0E7</v>
      </c>
      <c r="G40" s="73"/>
      <c r="H40" s="11"/>
      <c r="I40" s="2"/>
      <c r="J40" s="2"/>
      <c r="K40" s="2"/>
      <c r="L40" s="2"/>
      <c r="M40" s="2"/>
      <c r="N40" s="2"/>
      <c r="O40" s="2"/>
    </row>
    <row r="41">
      <c r="A41" s="48">
        <v>3.0</v>
      </c>
      <c r="B41" s="26" t="s">
        <v>76</v>
      </c>
      <c r="C41" s="26" t="s">
        <v>15</v>
      </c>
      <c r="D41" s="50" t="s">
        <v>72</v>
      </c>
      <c r="E41" s="57" t="s">
        <v>79</v>
      </c>
      <c r="F41" s="71">
        <v>2.0E7</v>
      </c>
      <c r="G41" s="50"/>
      <c r="H41" s="11"/>
      <c r="I41" s="2"/>
      <c r="J41" s="2"/>
      <c r="K41" s="2"/>
      <c r="L41" s="2"/>
      <c r="M41" s="2"/>
      <c r="N41" s="2"/>
      <c r="O41" s="2"/>
    </row>
    <row r="42">
      <c r="A42" s="48">
        <v>4.0</v>
      </c>
      <c r="B42" s="72" t="s">
        <v>78</v>
      </c>
      <c r="C42" s="26" t="s">
        <v>15</v>
      </c>
      <c r="D42" s="50" t="s">
        <v>72</v>
      </c>
      <c r="E42" s="57" t="s">
        <v>77</v>
      </c>
      <c r="F42" s="71">
        <v>2.0E7</v>
      </c>
      <c r="G42" s="50"/>
      <c r="H42" s="11"/>
      <c r="I42" s="2"/>
      <c r="J42" s="2"/>
      <c r="K42" s="2"/>
      <c r="L42" s="2"/>
      <c r="M42" s="2"/>
      <c r="N42" s="2"/>
      <c r="O42" s="2"/>
    </row>
    <row r="43">
      <c r="A43" s="77">
        <v>5.0</v>
      </c>
      <c r="B43" s="6" t="s">
        <v>83</v>
      </c>
      <c r="C43" s="26" t="s">
        <v>15</v>
      </c>
      <c r="D43" s="50" t="s">
        <v>81</v>
      </c>
      <c r="E43" s="50" t="s">
        <v>84</v>
      </c>
      <c r="F43" s="75"/>
      <c r="G43" s="50"/>
      <c r="H43" s="11"/>
      <c r="I43" s="2"/>
      <c r="J43" s="2"/>
      <c r="K43" s="2"/>
      <c r="L43" s="2"/>
      <c r="M43" s="2"/>
      <c r="N43" s="2"/>
      <c r="O43" s="2"/>
    </row>
    <row r="44">
      <c r="A44" s="77">
        <v>6.0</v>
      </c>
      <c r="B44" s="6" t="s">
        <v>85</v>
      </c>
      <c r="C44" s="8" t="s">
        <v>10</v>
      </c>
      <c r="D44" s="50" t="s">
        <v>81</v>
      </c>
      <c r="E44" s="50" t="s">
        <v>84</v>
      </c>
      <c r="F44" s="75"/>
      <c r="G44" s="50"/>
      <c r="H44" s="11"/>
      <c r="I44" s="2"/>
      <c r="J44" s="2"/>
      <c r="K44" s="2"/>
      <c r="L44" s="2"/>
      <c r="M44" s="2"/>
      <c r="N44" s="2"/>
      <c r="O44" s="2"/>
    </row>
    <row r="45">
      <c r="A45" s="66">
        <v>7.0</v>
      </c>
      <c r="B45" s="121" t="s">
        <v>110</v>
      </c>
      <c r="C45" s="69" t="s">
        <v>10</v>
      </c>
      <c r="D45" s="126" t="s">
        <v>184</v>
      </c>
      <c r="E45" s="126" t="s">
        <v>185</v>
      </c>
      <c r="F45" s="127"/>
      <c r="G45" s="126" t="s">
        <v>186</v>
      </c>
      <c r="H45" s="28"/>
      <c r="I45" s="44"/>
      <c r="J45" s="44"/>
      <c r="K45" s="44"/>
      <c r="L45" s="44"/>
      <c r="M45" s="44"/>
      <c r="N45" s="44"/>
      <c r="O45" s="44"/>
    </row>
    <row r="46">
      <c r="E46" s="70" t="s">
        <v>86</v>
      </c>
      <c r="G46" s="74"/>
      <c r="H46" s="11"/>
      <c r="I46" s="74"/>
      <c r="J46" s="74"/>
      <c r="K46" s="74"/>
      <c r="L46" s="74"/>
      <c r="M46" s="74"/>
      <c r="N46" s="74"/>
      <c r="O46" s="2"/>
    </row>
    <row r="47">
      <c r="G47" s="74"/>
      <c r="H47" s="11"/>
      <c r="I47" s="74"/>
      <c r="J47" s="74"/>
      <c r="K47" s="74"/>
      <c r="L47" s="74"/>
      <c r="M47" s="74"/>
      <c r="N47" s="74"/>
      <c r="O47" s="2"/>
    </row>
    <row r="48">
      <c r="A48" s="2"/>
      <c r="B48" s="2"/>
      <c r="C48" s="2"/>
      <c r="D48" s="2"/>
      <c r="E48" s="2"/>
      <c r="F48" s="2"/>
      <c r="G48" s="2"/>
      <c r="H48" s="11"/>
      <c r="I48" s="2"/>
      <c r="J48" s="2"/>
      <c r="K48" s="2"/>
      <c r="L48" s="2"/>
      <c r="M48" s="2"/>
      <c r="N48" s="2"/>
      <c r="O48" s="2"/>
    </row>
    <row r="49">
      <c r="A49" s="45" t="s">
        <v>0</v>
      </c>
      <c r="B49" s="45" t="s">
        <v>1</v>
      </c>
      <c r="C49" s="46"/>
      <c r="D49" s="45" t="s">
        <v>3</v>
      </c>
      <c r="E49" s="46"/>
      <c r="F49" s="45" t="s">
        <v>5</v>
      </c>
      <c r="G49" s="47" t="s">
        <v>9</v>
      </c>
      <c r="H49" s="11"/>
      <c r="I49" s="2"/>
      <c r="J49" s="2"/>
      <c r="K49" s="2"/>
      <c r="L49" s="2"/>
      <c r="M49" s="2"/>
      <c r="N49" s="2"/>
      <c r="O49" s="2"/>
    </row>
    <row r="50">
      <c r="A50" s="60">
        <v>1.0</v>
      </c>
      <c r="B50" s="6" t="s">
        <v>87</v>
      </c>
      <c r="C50" s="9" t="s">
        <v>10</v>
      </c>
      <c r="D50" s="50" t="s">
        <v>81</v>
      </c>
      <c r="E50" s="50" t="s">
        <v>88</v>
      </c>
      <c r="F50" s="78">
        <v>4.0E7</v>
      </c>
      <c r="G50" s="83" t="s">
        <v>99</v>
      </c>
      <c r="H50" s="11"/>
      <c r="I50" s="2"/>
      <c r="J50" s="2"/>
      <c r="K50" s="2"/>
      <c r="L50" s="2"/>
      <c r="M50" s="2"/>
      <c r="N50" s="2"/>
      <c r="O50" s="2"/>
    </row>
    <row r="51">
      <c r="A51" s="60">
        <v>5.0</v>
      </c>
      <c r="B51" s="6" t="s">
        <v>95</v>
      </c>
      <c r="C51" s="8" t="s">
        <v>10</v>
      </c>
      <c r="D51" s="8" t="s">
        <v>25</v>
      </c>
      <c r="E51" s="8" t="s">
        <v>96</v>
      </c>
      <c r="F51" s="82"/>
      <c r="G51" s="83" t="s">
        <v>202</v>
      </c>
      <c r="H51" s="11"/>
      <c r="I51" s="2"/>
      <c r="J51" s="2"/>
      <c r="K51" s="2"/>
      <c r="L51" s="2"/>
      <c r="M51" s="2"/>
      <c r="N51" s="2"/>
      <c r="O51" s="2"/>
    </row>
    <row r="52">
      <c r="A52" s="57">
        <v>8.0</v>
      </c>
      <c r="B52" s="146" t="s">
        <v>205</v>
      </c>
      <c r="C52" s="144" t="s">
        <v>10</v>
      </c>
      <c r="D52" s="126" t="s">
        <v>104</v>
      </c>
      <c r="E52" s="126" t="s">
        <v>101</v>
      </c>
      <c r="F52" s="144"/>
      <c r="G52" s="126" t="s">
        <v>207</v>
      </c>
      <c r="H52" s="89"/>
      <c r="I52" s="2"/>
      <c r="J52" s="2"/>
      <c r="K52" s="2"/>
      <c r="L52" s="2"/>
      <c r="M52" s="2"/>
      <c r="N52" s="2"/>
      <c r="O52" s="2"/>
    </row>
    <row r="53">
      <c r="G53" s="44"/>
      <c r="H53" s="11"/>
      <c r="I53" s="2"/>
      <c r="J53" s="2"/>
      <c r="K53" s="2"/>
      <c r="L53" s="2"/>
      <c r="M53" s="2"/>
      <c r="N53" s="2"/>
      <c r="O53" s="2"/>
    </row>
    <row r="54">
      <c r="E54" s="70" t="s">
        <v>106</v>
      </c>
      <c r="G54" s="85"/>
      <c r="H54" s="11"/>
      <c r="I54" s="85"/>
      <c r="J54" s="85"/>
      <c r="K54" s="85"/>
      <c r="L54" s="85"/>
      <c r="M54" s="85"/>
      <c r="N54" s="85"/>
      <c r="O54" s="2"/>
    </row>
    <row r="55">
      <c r="H55" s="2"/>
      <c r="I55" s="2"/>
      <c r="J55" s="2"/>
      <c r="K55" s="2"/>
      <c r="L55" s="2"/>
      <c r="M55" s="2"/>
      <c r="N55" s="2"/>
      <c r="O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>
      <c r="G57" s="2"/>
      <c r="H57" s="2"/>
      <c r="I57" s="2"/>
      <c r="J57" s="2"/>
      <c r="K57" s="2"/>
      <c r="L57" s="2"/>
      <c r="M57" s="2"/>
      <c r="N57" s="2"/>
      <c r="O57" s="2"/>
    </row>
    <row r="58">
      <c r="A58" s="45" t="s">
        <v>0</v>
      </c>
      <c r="B58" s="45" t="s">
        <v>1</v>
      </c>
      <c r="C58" s="46"/>
      <c r="D58" s="45" t="s">
        <v>3</v>
      </c>
      <c r="E58" s="46"/>
      <c r="F58" s="45" t="s">
        <v>5</v>
      </c>
      <c r="G58" s="47" t="s">
        <v>9</v>
      </c>
      <c r="H58" s="2"/>
      <c r="I58" s="2"/>
      <c r="J58" s="2"/>
      <c r="K58" s="2"/>
      <c r="L58" s="2"/>
      <c r="M58" s="2"/>
      <c r="N58" s="2"/>
      <c r="O58" s="2"/>
    </row>
    <row r="59">
      <c r="A59" s="60">
        <v>2.0</v>
      </c>
      <c r="B59" s="61" t="s">
        <v>112</v>
      </c>
      <c r="C59" s="8" t="s">
        <v>10</v>
      </c>
      <c r="D59" s="57" t="s">
        <v>113</v>
      </c>
      <c r="E59" s="50" t="s">
        <v>20</v>
      </c>
      <c r="F59" s="62"/>
      <c r="G59" s="57" t="s">
        <v>115</v>
      </c>
      <c r="H59" s="2"/>
      <c r="I59" s="2"/>
      <c r="J59" s="2"/>
      <c r="K59" s="2"/>
      <c r="L59" s="2"/>
      <c r="M59" s="2"/>
      <c r="N59" s="2"/>
      <c r="O59" s="2"/>
    </row>
    <row r="60">
      <c r="A60" s="60">
        <v>4.0</v>
      </c>
      <c r="B60" s="92" t="s">
        <v>119</v>
      </c>
      <c r="C60" s="8" t="s">
        <v>10</v>
      </c>
      <c r="D60" s="57" t="s">
        <v>113</v>
      </c>
      <c r="E60" s="50" t="s">
        <v>20</v>
      </c>
      <c r="F60" s="50"/>
      <c r="G60" s="57" t="s">
        <v>115</v>
      </c>
      <c r="H60" s="33"/>
      <c r="I60" s="2"/>
      <c r="J60" s="2"/>
      <c r="K60" s="2"/>
      <c r="L60" s="2"/>
      <c r="M60" s="2"/>
      <c r="N60" s="2"/>
      <c r="O60" s="2"/>
    </row>
    <row r="61">
      <c r="A61" s="50"/>
      <c r="B61" s="50"/>
      <c r="C61" s="50"/>
      <c r="D61" s="50"/>
      <c r="E61" s="50"/>
      <c r="F61" s="50"/>
      <c r="G61" s="50"/>
      <c r="H61" s="2"/>
      <c r="I61" s="2"/>
      <c r="J61" s="2"/>
      <c r="K61" s="2"/>
      <c r="L61" s="2"/>
      <c r="M61" s="2"/>
      <c r="N61" s="2"/>
      <c r="O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>
      <c r="A63" s="44"/>
      <c r="B63" s="44"/>
      <c r="C63" s="44"/>
      <c r="D63" s="44"/>
      <c r="E63" s="99" t="s">
        <v>127</v>
      </c>
      <c r="F63" s="44"/>
      <c r="G63" s="2"/>
      <c r="H63" s="2"/>
      <c r="I63" s="2"/>
      <c r="J63" s="2"/>
      <c r="K63" s="2"/>
      <c r="L63" s="2"/>
      <c r="M63" s="2"/>
      <c r="N63" s="2"/>
      <c r="O63" s="2"/>
    </row>
    <row r="64">
      <c r="A64" s="44"/>
      <c r="B64" s="44"/>
      <c r="C64" s="44"/>
      <c r="D64" s="44"/>
      <c r="E64" s="44"/>
      <c r="F64" s="44"/>
      <c r="G64" s="2"/>
      <c r="H64" s="2"/>
      <c r="I64" s="2"/>
      <c r="J64" s="2"/>
      <c r="K64" s="2"/>
      <c r="L64" s="2"/>
      <c r="M64" s="2"/>
      <c r="N64" s="2"/>
      <c r="O64" s="2"/>
    </row>
    <row r="65">
      <c r="A65" s="45" t="s">
        <v>0</v>
      </c>
      <c r="B65" s="45" t="s">
        <v>1</v>
      </c>
      <c r="C65" s="46"/>
      <c r="D65" s="45" t="s">
        <v>3</v>
      </c>
      <c r="E65" s="46"/>
      <c r="F65" s="45" t="s">
        <v>5</v>
      </c>
      <c r="G65" s="47" t="s">
        <v>9</v>
      </c>
      <c r="H65" s="2"/>
      <c r="I65" s="2"/>
      <c r="J65" s="2"/>
      <c r="K65" s="2"/>
      <c r="L65" s="2"/>
      <c r="M65" s="2"/>
      <c r="N65" s="2"/>
      <c r="O65" s="2"/>
    </row>
    <row r="66">
      <c r="A66" s="60">
        <v>1.0</v>
      </c>
      <c r="B66" s="97" t="s">
        <v>130</v>
      </c>
      <c r="C66" s="9" t="s">
        <v>10</v>
      </c>
      <c r="D66" s="57" t="s">
        <v>126</v>
      </c>
      <c r="E66" s="57" t="s">
        <v>27</v>
      </c>
      <c r="F66" s="98"/>
      <c r="G66" s="50"/>
      <c r="H66" s="2"/>
      <c r="I66" s="2"/>
      <c r="J66" s="2"/>
      <c r="K66" s="2"/>
      <c r="L66" s="2"/>
      <c r="M66" s="2"/>
      <c r="N66" s="2"/>
      <c r="O66" s="2"/>
    </row>
    <row r="67">
      <c r="A67" s="77">
        <v>2.0</v>
      </c>
      <c r="B67" s="100" t="s">
        <v>133</v>
      </c>
      <c r="C67" s="9" t="s">
        <v>10</v>
      </c>
      <c r="D67" s="57" t="s">
        <v>126</v>
      </c>
      <c r="E67" s="57" t="s">
        <v>27</v>
      </c>
      <c r="F67" s="62"/>
      <c r="G67" s="50"/>
      <c r="H67" s="2"/>
      <c r="I67" s="2"/>
      <c r="J67" s="2"/>
      <c r="K67" s="2"/>
      <c r="L67" s="2"/>
      <c r="M67" s="2"/>
      <c r="N67" s="2"/>
      <c r="O67" s="2"/>
    </row>
    <row r="68">
      <c r="A68" s="102">
        <v>3.0</v>
      </c>
      <c r="B68" s="97" t="s">
        <v>129</v>
      </c>
      <c r="C68" s="9" t="s">
        <v>10</v>
      </c>
      <c r="D68" s="102" t="s">
        <v>131</v>
      </c>
      <c r="E68" s="57" t="s">
        <v>27</v>
      </c>
      <c r="F68" s="73"/>
      <c r="G68" s="50"/>
      <c r="H68" s="2"/>
      <c r="I68" s="2"/>
      <c r="J68" s="2"/>
      <c r="K68" s="2"/>
      <c r="L68" s="2"/>
      <c r="M68" s="2"/>
      <c r="N68" s="2"/>
      <c r="O68" s="2"/>
    </row>
    <row r="69">
      <c r="A69" s="102">
        <v>4.0</v>
      </c>
      <c r="B69" s="97" t="s">
        <v>138</v>
      </c>
      <c r="C69" s="103" t="s">
        <v>10</v>
      </c>
      <c r="D69" s="102" t="s">
        <v>131</v>
      </c>
      <c r="E69" s="57" t="s">
        <v>27</v>
      </c>
      <c r="F69" s="73"/>
      <c r="G69" s="57" t="s">
        <v>139</v>
      </c>
      <c r="H69" s="2"/>
      <c r="I69" s="2"/>
      <c r="J69" s="2"/>
      <c r="K69" s="2"/>
      <c r="L69" s="2"/>
      <c r="M69" s="2"/>
      <c r="N69" s="2"/>
      <c r="O69" s="2"/>
    </row>
    <row r="70">
      <c r="A70" s="102">
        <v>5.0</v>
      </c>
      <c r="B70" s="105" t="s">
        <v>135</v>
      </c>
      <c r="C70" s="56" t="s">
        <v>10</v>
      </c>
      <c r="D70" s="106" t="s">
        <v>131</v>
      </c>
      <c r="E70" s="88" t="s">
        <v>27</v>
      </c>
      <c r="F70" s="107"/>
      <c r="G70" s="88" t="s">
        <v>140</v>
      </c>
      <c r="H70" s="2"/>
      <c r="I70" s="2"/>
      <c r="J70" s="2"/>
      <c r="K70" s="2"/>
      <c r="L70" s="2"/>
      <c r="M70" s="2"/>
      <c r="N70" s="2"/>
      <c r="O70" s="2"/>
    </row>
    <row r="71">
      <c r="A71" s="102">
        <v>6.0</v>
      </c>
      <c r="B71" s="100" t="s">
        <v>136</v>
      </c>
      <c r="C71" s="9" t="s">
        <v>10</v>
      </c>
      <c r="D71" s="102" t="s">
        <v>137</v>
      </c>
      <c r="E71" s="57" t="s">
        <v>27</v>
      </c>
      <c r="F71" s="73"/>
      <c r="G71" s="50"/>
      <c r="H71" s="2"/>
      <c r="I71" s="2"/>
      <c r="J71" s="2"/>
      <c r="K71" s="2"/>
      <c r="L71" s="2"/>
      <c r="M71" s="2"/>
      <c r="N71" s="2"/>
      <c r="O71" s="2"/>
    </row>
    <row r="72">
      <c r="A72" s="57">
        <v>7.0</v>
      </c>
      <c r="B72" s="84" t="s">
        <v>215</v>
      </c>
      <c r="C72" s="9" t="s">
        <v>10</v>
      </c>
      <c r="D72" s="102" t="s">
        <v>137</v>
      </c>
      <c r="E72" s="57" t="s">
        <v>27</v>
      </c>
      <c r="F72" s="50"/>
      <c r="G72" s="50"/>
      <c r="H72" s="2"/>
      <c r="I72" s="2"/>
      <c r="J72" s="2"/>
      <c r="K72" s="2"/>
      <c r="L72" s="2"/>
      <c r="M72" s="2"/>
      <c r="N72" s="2"/>
      <c r="O72" s="2"/>
    </row>
    <row r="73">
      <c r="A73" s="57">
        <v>8.0</v>
      </c>
      <c r="B73" s="84" t="s">
        <v>216</v>
      </c>
      <c r="C73" s="9" t="s">
        <v>10</v>
      </c>
      <c r="D73" s="102" t="s">
        <v>137</v>
      </c>
      <c r="E73" s="57" t="s">
        <v>27</v>
      </c>
      <c r="F73" s="50"/>
      <c r="G73" s="50"/>
      <c r="H73" s="2"/>
      <c r="I73" s="2"/>
      <c r="J73" s="2"/>
      <c r="K73" s="2"/>
      <c r="L73" s="2"/>
      <c r="M73" s="2"/>
      <c r="N73" s="2"/>
      <c r="O73" s="2"/>
    </row>
    <row r="74">
      <c r="A74" s="57">
        <v>9.0</v>
      </c>
      <c r="B74" s="84" t="s">
        <v>217</v>
      </c>
      <c r="C74" s="9" t="s">
        <v>10</v>
      </c>
      <c r="D74" s="102" t="s">
        <v>137</v>
      </c>
      <c r="E74" s="57" t="s">
        <v>27</v>
      </c>
      <c r="F74" s="50"/>
      <c r="G74" s="50"/>
      <c r="H74" s="2"/>
      <c r="I74" s="2"/>
      <c r="J74" s="2"/>
      <c r="K74" s="2"/>
      <c r="L74" s="2"/>
      <c r="M74" s="2"/>
      <c r="N74" s="2"/>
      <c r="O74" s="2"/>
    </row>
    <row r="75">
      <c r="A75" s="2"/>
      <c r="B75" s="4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>
      <c r="A76" s="45" t="s">
        <v>0</v>
      </c>
      <c r="B76" s="45" t="s">
        <v>1</v>
      </c>
      <c r="C76" s="46"/>
      <c r="D76" s="45" t="s">
        <v>3</v>
      </c>
      <c r="E76" s="46"/>
      <c r="F76" s="45" t="s">
        <v>5</v>
      </c>
      <c r="G76" s="47" t="s">
        <v>9</v>
      </c>
      <c r="H76" s="2"/>
      <c r="I76" s="2"/>
      <c r="J76" s="2"/>
      <c r="K76" s="2"/>
      <c r="L76" s="2"/>
      <c r="M76" s="2"/>
      <c r="N76" s="2"/>
      <c r="O76" s="2"/>
    </row>
    <row r="77">
      <c r="A77" s="60">
        <v>1.0</v>
      </c>
      <c r="B77" s="97" t="s">
        <v>141</v>
      </c>
      <c r="C77" s="9" t="s">
        <v>10</v>
      </c>
      <c r="D77" s="57" t="s">
        <v>142</v>
      </c>
      <c r="E77" s="57" t="s">
        <v>29</v>
      </c>
      <c r="F77" s="98">
        <v>1.87E7</v>
      </c>
      <c r="G77" s="57" t="s">
        <v>143</v>
      </c>
      <c r="H77" s="33" t="s">
        <v>144</v>
      </c>
      <c r="I77" s="2"/>
      <c r="J77" s="2"/>
      <c r="K77" s="2"/>
      <c r="L77" s="2"/>
      <c r="M77" s="2"/>
      <c r="N77" s="2"/>
      <c r="O77" s="2"/>
    </row>
    <row r="78">
      <c r="A78" s="60"/>
      <c r="B78" s="6"/>
      <c r="C78" s="8"/>
      <c r="D78" s="50"/>
      <c r="E78" s="50"/>
      <c r="F78" s="62"/>
      <c r="G78" s="48"/>
      <c r="H78" s="2"/>
      <c r="I78" s="2"/>
      <c r="J78" s="2"/>
      <c r="K78" s="2"/>
      <c r="L78" s="2"/>
      <c r="M78" s="2"/>
      <c r="N78" s="2"/>
      <c r="O78" s="2"/>
    </row>
    <row r="79">
      <c r="G79" s="101"/>
      <c r="H79" s="2"/>
      <c r="I79" s="2"/>
      <c r="J79" s="2"/>
      <c r="K79" s="2"/>
      <c r="L79" s="2"/>
      <c r="M79" s="2"/>
      <c r="N79" s="2"/>
      <c r="O79" s="2"/>
    </row>
    <row r="80">
      <c r="G80" s="2"/>
      <c r="H80" s="2"/>
      <c r="I80" s="2"/>
      <c r="J80" s="2"/>
      <c r="K80" s="2"/>
      <c r="L80" s="2"/>
      <c r="M80" s="2"/>
      <c r="N80" s="2"/>
      <c r="O80" s="2"/>
    </row>
    <row r="81">
      <c r="A81" s="45" t="s">
        <v>0</v>
      </c>
      <c r="B81" s="45" t="s">
        <v>1</v>
      </c>
      <c r="C81" s="46"/>
      <c r="D81" s="45" t="s">
        <v>3</v>
      </c>
      <c r="E81" s="46"/>
      <c r="F81" s="45" t="s">
        <v>5</v>
      </c>
      <c r="G81" s="47" t="s">
        <v>9</v>
      </c>
      <c r="H81" s="2"/>
      <c r="I81" s="2"/>
      <c r="J81" s="2"/>
      <c r="K81" s="2"/>
      <c r="L81" s="2"/>
      <c r="M81" s="2"/>
      <c r="N81" s="2"/>
      <c r="O81" s="2"/>
    </row>
    <row r="82">
      <c r="A82" s="77">
        <v>2.0</v>
      </c>
      <c r="B82" s="97" t="s">
        <v>149</v>
      </c>
      <c r="C82" s="9" t="s">
        <v>10</v>
      </c>
      <c r="D82" s="57" t="s">
        <v>150</v>
      </c>
      <c r="E82" s="57" t="s">
        <v>147</v>
      </c>
      <c r="F82" s="98">
        <v>1.87E7</v>
      </c>
      <c r="G82" s="57" t="s">
        <v>151</v>
      </c>
      <c r="H82" s="2"/>
      <c r="I82" s="2"/>
      <c r="J82" s="2"/>
      <c r="K82" s="2"/>
      <c r="L82" s="2"/>
      <c r="M82" s="2"/>
      <c r="N82" s="2"/>
      <c r="O82" s="2"/>
    </row>
    <row r="83">
      <c r="A83" s="65">
        <v>3.0</v>
      </c>
      <c r="B83" s="66" t="s">
        <v>191</v>
      </c>
      <c r="C83" s="140" t="s">
        <v>15</v>
      </c>
      <c r="D83" s="126" t="s">
        <v>150</v>
      </c>
      <c r="E83" s="126" t="s">
        <v>147</v>
      </c>
      <c r="F83" s="141"/>
      <c r="G83" s="126" t="s">
        <v>192</v>
      </c>
      <c r="H83" s="2"/>
      <c r="I83" s="2"/>
      <c r="J83" s="2"/>
      <c r="K83" s="2"/>
      <c r="L83" s="2"/>
      <c r="M83" s="2"/>
      <c r="N83" s="2"/>
      <c r="O83" s="2"/>
    </row>
    <row r="84">
      <c r="G84" s="2"/>
      <c r="H84" s="2"/>
      <c r="I84" s="2"/>
      <c r="J84" s="2"/>
      <c r="K84" s="2"/>
      <c r="L84" s="2"/>
      <c r="M84" s="2"/>
      <c r="N84" s="2"/>
      <c r="O84" s="2"/>
    </row>
    <row r="85">
      <c r="A85" s="45" t="s">
        <v>0</v>
      </c>
      <c r="B85" s="45" t="s">
        <v>1</v>
      </c>
      <c r="C85" s="46"/>
      <c r="D85" s="45" t="s">
        <v>3</v>
      </c>
      <c r="E85" s="108"/>
      <c r="F85" s="1" t="s">
        <v>5</v>
      </c>
      <c r="G85" s="47" t="s">
        <v>9</v>
      </c>
      <c r="H85" s="2"/>
      <c r="I85" s="2"/>
      <c r="J85" s="2"/>
      <c r="K85" s="2"/>
      <c r="L85" s="2"/>
      <c r="M85" s="2"/>
      <c r="N85" s="2"/>
      <c r="O85" s="2"/>
    </row>
    <row r="86">
      <c r="A86" s="60">
        <v>1.0</v>
      </c>
      <c r="B86" s="109" t="s">
        <v>152</v>
      </c>
      <c r="C86" s="110" t="s">
        <v>10</v>
      </c>
      <c r="D86" s="111" t="s">
        <v>153</v>
      </c>
      <c r="E86" s="57" t="s">
        <v>154</v>
      </c>
      <c r="F86" s="98">
        <v>1.87E7</v>
      </c>
      <c r="G86" s="57" t="s">
        <v>155</v>
      </c>
      <c r="H86" s="2"/>
      <c r="I86" s="2"/>
      <c r="J86" s="2"/>
      <c r="K86" s="2"/>
      <c r="L86" s="2"/>
      <c r="M86" s="2"/>
      <c r="N86" s="2"/>
      <c r="O86" s="2"/>
    </row>
    <row r="87">
      <c r="A87" s="77">
        <v>2.0</v>
      </c>
      <c r="B87" s="109" t="s">
        <v>156</v>
      </c>
      <c r="C87" s="110" t="s">
        <v>10</v>
      </c>
      <c r="D87" s="112" t="s">
        <v>157</v>
      </c>
      <c r="E87" s="57" t="s">
        <v>154</v>
      </c>
      <c r="F87" s="98">
        <v>1.87E7</v>
      </c>
      <c r="G87" s="57" t="s">
        <v>158</v>
      </c>
      <c r="H87" s="2"/>
      <c r="I87" s="2"/>
      <c r="J87" s="2"/>
      <c r="K87" s="2"/>
      <c r="L87" s="2"/>
      <c r="M87" s="2"/>
      <c r="N87" s="2"/>
      <c r="O87" s="2"/>
    </row>
    <row r="88">
      <c r="A88" s="57">
        <v>3.0</v>
      </c>
      <c r="B88" s="109" t="s">
        <v>159</v>
      </c>
      <c r="C88" s="110" t="s">
        <v>10</v>
      </c>
      <c r="D88" s="62" t="s">
        <v>160</v>
      </c>
      <c r="E88" s="57" t="s">
        <v>154</v>
      </c>
      <c r="F88" s="98">
        <v>1.87E7</v>
      </c>
      <c r="G88" s="57" t="s">
        <v>158</v>
      </c>
      <c r="H88" s="2"/>
      <c r="I88" s="2"/>
      <c r="J88" s="2"/>
      <c r="K88" s="2"/>
      <c r="L88" s="2"/>
      <c r="M88" s="2"/>
      <c r="N88" s="2"/>
      <c r="O88" s="2"/>
    </row>
    <row r="89">
      <c r="A89" s="57">
        <v>5.0</v>
      </c>
      <c r="B89" s="109" t="s">
        <v>163</v>
      </c>
      <c r="C89" s="110" t="s">
        <v>10</v>
      </c>
      <c r="D89" s="50" t="s">
        <v>162</v>
      </c>
      <c r="E89" s="57" t="s">
        <v>154</v>
      </c>
      <c r="F89" s="98">
        <v>1.87E7</v>
      </c>
      <c r="G89" s="57" t="s">
        <v>158</v>
      </c>
      <c r="H89" s="2"/>
      <c r="I89" s="2"/>
      <c r="J89" s="2"/>
      <c r="K89" s="2"/>
      <c r="L89" s="2"/>
      <c r="M89" s="2"/>
      <c r="N89" s="2"/>
      <c r="O89" s="2"/>
    </row>
    <row r="90">
      <c r="A90" s="57">
        <v>6.0</v>
      </c>
      <c r="B90" s="109" t="s">
        <v>164</v>
      </c>
      <c r="C90" s="110" t="s">
        <v>10</v>
      </c>
      <c r="D90" s="62" t="s">
        <v>165</v>
      </c>
      <c r="E90" s="57" t="s">
        <v>154</v>
      </c>
      <c r="F90" s="98">
        <v>1.87E7</v>
      </c>
      <c r="G90" s="57" t="s">
        <v>158</v>
      </c>
      <c r="H90" s="2"/>
      <c r="I90" s="2"/>
      <c r="J90" s="2"/>
      <c r="K90" s="2"/>
      <c r="L90" s="2"/>
      <c r="M90" s="2"/>
      <c r="N90" s="2"/>
      <c r="O90" s="2"/>
    </row>
    <row r="91">
      <c r="A91" s="57">
        <v>7.0</v>
      </c>
      <c r="B91" s="109" t="s">
        <v>166</v>
      </c>
      <c r="C91" s="110" t="s">
        <v>10</v>
      </c>
      <c r="D91" s="50" t="s">
        <v>165</v>
      </c>
      <c r="E91" s="57" t="s">
        <v>154</v>
      </c>
      <c r="F91" s="98">
        <v>1.87E7</v>
      </c>
      <c r="G91" s="57" t="s">
        <v>167</v>
      </c>
      <c r="H91" s="2"/>
      <c r="I91" s="2"/>
      <c r="J91" s="2"/>
      <c r="K91" s="2"/>
      <c r="L91" s="2"/>
      <c r="M91" s="2"/>
      <c r="N91" s="2"/>
      <c r="O91" s="2"/>
    </row>
    <row r="92">
      <c r="A92" s="57">
        <v>8.0</v>
      </c>
      <c r="B92" s="109" t="s">
        <v>168</v>
      </c>
      <c r="C92" s="110" t="s">
        <v>10</v>
      </c>
      <c r="D92" s="50" t="s">
        <v>169</v>
      </c>
      <c r="E92" s="57" t="s">
        <v>154</v>
      </c>
      <c r="F92" s="98">
        <v>1.87E7</v>
      </c>
      <c r="G92" s="57" t="s">
        <v>158</v>
      </c>
      <c r="H92" s="2"/>
      <c r="I92" s="2"/>
      <c r="J92" s="2"/>
      <c r="K92" s="2"/>
      <c r="L92" s="2"/>
      <c r="M92" s="2"/>
      <c r="N92" s="2"/>
      <c r="O92" s="2"/>
    </row>
    <row r="93">
      <c r="A93" s="57">
        <v>9.0</v>
      </c>
      <c r="B93" s="109" t="s">
        <v>170</v>
      </c>
      <c r="C93" s="110" t="s">
        <v>10</v>
      </c>
      <c r="D93" s="50" t="s">
        <v>169</v>
      </c>
      <c r="E93" s="57" t="s">
        <v>154</v>
      </c>
      <c r="F93" s="98">
        <v>1.87E7</v>
      </c>
      <c r="G93" s="57" t="s">
        <v>158</v>
      </c>
      <c r="H93" s="2"/>
      <c r="I93" s="2"/>
      <c r="J93" s="2"/>
      <c r="K93" s="2"/>
      <c r="L93" s="2"/>
      <c r="M93" s="2"/>
      <c r="N93" s="2"/>
      <c r="O93" s="2"/>
    </row>
    <row r="94">
      <c r="A94" s="57">
        <v>10.0</v>
      </c>
      <c r="B94" s="102" t="s">
        <v>195</v>
      </c>
      <c r="C94" s="143" t="s">
        <v>10</v>
      </c>
      <c r="D94" s="50" t="s">
        <v>162</v>
      </c>
      <c r="E94" s="57" t="s">
        <v>154</v>
      </c>
      <c r="F94" s="98"/>
      <c r="G94" s="57" t="s">
        <v>222</v>
      </c>
      <c r="H94" s="2"/>
      <c r="I94" s="2"/>
      <c r="J94" s="2"/>
      <c r="K94" s="2"/>
      <c r="L94" s="2"/>
      <c r="M94" s="2"/>
      <c r="N94" s="2"/>
      <c r="O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>
      <c r="A97" s="45" t="s">
        <v>0</v>
      </c>
      <c r="B97" s="45" t="s">
        <v>1</v>
      </c>
      <c r="C97" s="46"/>
      <c r="D97" s="45" t="s">
        <v>3</v>
      </c>
      <c r="E97" s="108"/>
      <c r="F97" s="1" t="s">
        <v>5</v>
      </c>
      <c r="G97" s="47" t="s">
        <v>9</v>
      </c>
      <c r="H97" s="2"/>
      <c r="I97" s="2"/>
      <c r="J97" s="2"/>
      <c r="K97" s="2"/>
      <c r="L97" s="2"/>
      <c r="M97" s="2"/>
      <c r="N97" s="2"/>
      <c r="O97" s="2"/>
    </row>
    <row r="98">
      <c r="A98" s="33">
        <v>1.0</v>
      </c>
      <c r="B98" s="144" t="s">
        <v>100</v>
      </c>
      <c r="C98" s="70" t="s">
        <v>10</v>
      </c>
      <c r="D98" s="144" t="s">
        <v>196</v>
      </c>
      <c r="E98" s="57" t="s">
        <v>197</v>
      </c>
      <c r="F98" s="2"/>
      <c r="G98" s="145" t="s">
        <v>198</v>
      </c>
      <c r="H98" s="2"/>
      <c r="I98" s="2"/>
      <c r="J98" s="2"/>
      <c r="K98" s="2"/>
      <c r="L98" s="2"/>
      <c r="M98" s="2"/>
      <c r="N98" s="2"/>
      <c r="O98" s="2"/>
    </row>
    <row r="99">
      <c r="A99" s="33">
        <v>2.0</v>
      </c>
      <c r="B99" s="67" t="s">
        <v>199</v>
      </c>
      <c r="C99" s="70" t="s">
        <v>10</v>
      </c>
      <c r="D99" s="144" t="s">
        <v>200</v>
      </c>
      <c r="E99" s="57" t="s">
        <v>197</v>
      </c>
      <c r="F99" s="2"/>
      <c r="G99" s="145" t="s">
        <v>201</v>
      </c>
      <c r="H99" s="2"/>
      <c r="I99" s="2"/>
      <c r="J99" s="2"/>
      <c r="K99" s="2"/>
      <c r="L99" s="2"/>
      <c r="M99" s="2"/>
      <c r="N99" s="2"/>
      <c r="O99" s="2"/>
    </row>
    <row r="100">
      <c r="A100" s="33">
        <v>3.0</v>
      </c>
      <c r="B100" s="129" t="s">
        <v>203</v>
      </c>
      <c r="C100" s="70" t="s">
        <v>10</v>
      </c>
      <c r="D100" s="129" t="s">
        <v>204</v>
      </c>
      <c r="E100" s="57" t="s">
        <v>197</v>
      </c>
      <c r="F100" s="2"/>
      <c r="G100" s="147" t="s">
        <v>206</v>
      </c>
      <c r="H100" s="2"/>
      <c r="I100" s="2"/>
      <c r="J100" s="2"/>
      <c r="K100" s="2"/>
      <c r="L100" s="2"/>
      <c r="M100" s="2"/>
      <c r="N100" s="2"/>
      <c r="O100" s="2"/>
    </row>
    <row r="101">
      <c r="A101" s="33">
        <v>4.0</v>
      </c>
      <c r="B101" s="144" t="s">
        <v>208</v>
      </c>
      <c r="C101" s="70" t="s">
        <v>10</v>
      </c>
      <c r="D101" s="144" t="s">
        <v>209</v>
      </c>
      <c r="E101" s="57" t="s">
        <v>197</v>
      </c>
      <c r="F101" s="2"/>
      <c r="G101" s="148" t="s">
        <v>206</v>
      </c>
      <c r="H101" s="2"/>
      <c r="I101" s="2"/>
      <c r="J101" s="2"/>
      <c r="K101" s="2"/>
      <c r="L101" s="2"/>
      <c r="M101" s="2"/>
      <c r="N101" s="2"/>
      <c r="O101" s="2"/>
    </row>
    <row r="102">
      <c r="A102" s="33">
        <v>5.0</v>
      </c>
      <c r="B102" s="67" t="s">
        <v>210</v>
      </c>
      <c r="C102" s="70" t="s">
        <v>10</v>
      </c>
      <c r="D102" s="144" t="s">
        <v>209</v>
      </c>
      <c r="E102" s="57" t="s">
        <v>197</v>
      </c>
      <c r="F102" s="2"/>
      <c r="G102" s="148" t="s">
        <v>206</v>
      </c>
      <c r="H102" s="2"/>
      <c r="I102" s="2"/>
      <c r="J102" s="2"/>
      <c r="K102" s="2"/>
      <c r="L102" s="2"/>
      <c r="M102" s="2"/>
      <c r="N102" s="2"/>
      <c r="O102" s="2"/>
    </row>
    <row r="103">
      <c r="A103" s="33">
        <v>6.0</v>
      </c>
      <c r="B103" s="129" t="s">
        <v>211</v>
      </c>
      <c r="C103" s="70" t="s">
        <v>10</v>
      </c>
      <c r="D103" s="129" t="s">
        <v>209</v>
      </c>
      <c r="E103" s="57" t="s">
        <v>197</v>
      </c>
      <c r="F103" s="2"/>
      <c r="G103" s="153">
        <v>46216.0</v>
      </c>
      <c r="H103" s="2"/>
      <c r="I103" s="2"/>
      <c r="J103" s="2"/>
      <c r="K103" s="2"/>
      <c r="L103" s="2"/>
      <c r="M103" s="2"/>
      <c r="N103" s="2"/>
      <c r="O103" s="2"/>
    </row>
    <row r="104">
      <c r="A104" s="33">
        <v>7.0</v>
      </c>
      <c r="B104" s="129" t="s">
        <v>212</v>
      </c>
      <c r="C104" s="70" t="s">
        <v>10</v>
      </c>
      <c r="D104" s="129" t="s">
        <v>209</v>
      </c>
      <c r="E104" s="57" t="s">
        <v>197</v>
      </c>
      <c r="F104" s="2"/>
      <c r="G104" s="153">
        <v>46212.0</v>
      </c>
      <c r="H104" s="2"/>
      <c r="I104" s="2"/>
      <c r="J104" s="2"/>
      <c r="K104" s="2"/>
      <c r="L104" s="2"/>
      <c r="M104" s="2"/>
      <c r="N104" s="2"/>
      <c r="O104" s="2"/>
    </row>
    <row r="105">
      <c r="A105" s="33">
        <v>8.0</v>
      </c>
      <c r="B105" s="67" t="s">
        <v>213</v>
      </c>
      <c r="C105" s="70" t="s">
        <v>10</v>
      </c>
      <c r="D105" s="144" t="s">
        <v>209</v>
      </c>
      <c r="E105" s="57" t="s">
        <v>197</v>
      </c>
      <c r="F105" s="2"/>
      <c r="G105" s="153">
        <v>46204.0</v>
      </c>
      <c r="H105" s="2"/>
      <c r="I105" s="2"/>
      <c r="J105" s="2"/>
      <c r="K105" s="2"/>
      <c r="L105" s="2"/>
      <c r="M105" s="2"/>
      <c r="N105" s="2"/>
      <c r="O105" s="2"/>
    </row>
    <row r="106">
      <c r="A106" s="2"/>
      <c r="B106" s="2"/>
      <c r="C106" s="2"/>
      <c r="D106" s="2"/>
      <c r="E106" s="2"/>
      <c r="F106" s="2"/>
      <c r="H106" s="2"/>
      <c r="I106" s="2"/>
      <c r="J106" s="2"/>
      <c r="K106" s="2"/>
      <c r="L106" s="2"/>
      <c r="M106" s="2"/>
      <c r="N106" s="2"/>
      <c r="O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2.75"/>
    <col customWidth="1" min="3" max="3" width="8.5"/>
    <col customWidth="1" min="4" max="4" width="19.88"/>
    <col customWidth="1" min="5" max="5" width="29.13"/>
    <col customWidth="1" hidden="1" min="6" max="6" width="17.38"/>
    <col customWidth="1" min="7" max="7" width="20.88"/>
    <col customWidth="1" min="9" max="9" width="31.88"/>
    <col customWidth="1" min="10" max="10" width="1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9</v>
      </c>
      <c r="H1" s="2"/>
      <c r="I1" s="3" t="s">
        <v>6</v>
      </c>
      <c r="J1" s="3" t="s">
        <v>7</v>
      </c>
      <c r="K1" s="2"/>
      <c r="L1" s="4"/>
      <c r="M1" s="4"/>
      <c r="N1" s="4"/>
      <c r="O1" s="2"/>
    </row>
    <row r="2">
      <c r="A2" s="5">
        <v>1.0</v>
      </c>
      <c r="B2" s="6" t="s">
        <v>31</v>
      </c>
      <c r="C2" s="8" t="s">
        <v>15</v>
      </c>
      <c r="D2" s="9" t="s">
        <v>32</v>
      </c>
      <c r="E2" s="8" t="s">
        <v>33</v>
      </c>
      <c r="F2" s="10">
        <v>2.2387E7</v>
      </c>
      <c r="G2" s="29" t="s">
        <v>41</v>
      </c>
      <c r="H2" s="11"/>
      <c r="I2" s="12" t="s">
        <v>13</v>
      </c>
      <c r="J2" s="14">
        <v>1.0</v>
      </c>
      <c r="K2" s="11"/>
      <c r="L2" s="11"/>
      <c r="M2" s="15"/>
      <c r="N2" s="11"/>
      <c r="O2" s="2"/>
    </row>
    <row r="3">
      <c r="A3" s="5">
        <v>2.0</v>
      </c>
      <c r="B3" s="26"/>
      <c r="C3" s="9"/>
      <c r="D3" s="9"/>
      <c r="E3" s="9"/>
      <c r="F3" s="10"/>
      <c r="G3" s="98"/>
      <c r="H3" s="11"/>
      <c r="I3" s="12" t="s">
        <v>17</v>
      </c>
      <c r="J3" s="14">
        <v>2.0</v>
      </c>
      <c r="K3" s="11"/>
      <c r="L3" s="11"/>
      <c r="M3" s="11"/>
      <c r="N3" s="11"/>
      <c r="O3" s="2"/>
    </row>
    <row r="4">
      <c r="A4" s="5">
        <v>3.0</v>
      </c>
      <c r="B4" s="116"/>
      <c r="C4" s="8"/>
      <c r="D4" s="20"/>
      <c r="E4" s="20"/>
      <c r="F4" s="10"/>
      <c r="G4" s="17"/>
      <c r="H4" s="11"/>
      <c r="I4" s="12" t="s">
        <v>20</v>
      </c>
      <c r="J4" s="14">
        <v>2.0</v>
      </c>
      <c r="K4" s="11"/>
      <c r="L4" s="11"/>
      <c r="M4" s="11"/>
      <c r="N4" s="11"/>
      <c r="O4" s="2"/>
    </row>
    <row r="5">
      <c r="A5" s="5">
        <v>4.0</v>
      </c>
      <c r="B5" s="26"/>
      <c r="C5" s="8"/>
      <c r="D5" s="9"/>
      <c r="E5" s="9"/>
      <c r="F5" s="10"/>
      <c r="G5" s="25"/>
      <c r="H5" s="11"/>
      <c r="I5" s="131" t="s">
        <v>23</v>
      </c>
      <c r="J5" s="117">
        <v>0.0</v>
      </c>
      <c r="K5" s="11"/>
      <c r="L5" s="11"/>
      <c r="M5" s="11"/>
      <c r="N5" s="11"/>
      <c r="O5" s="2"/>
    </row>
    <row r="6">
      <c r="A6" s="5">
        <v>5.0</v>
      </c>
      <c r="B6" s="26"/>
      <c r="C6" s="8"/>
      <c r="D6" s="9"/>
      <c r="E6" s="9"/>
      <c r="F6" s="10"/>
      <c r="G6" s="17"/>
      <c r="H6" s="11"/>
      <c r="I6" s="22" t="s">
        <v>27</v>
      </c>
      <c r="J6" s="14">
        <v>9.0</v>
      </c>
      <c r="K6" s="11"/>
      <c r="L6" s="11"/>
      <c r="M6" s="11"/>
      <c r="N6" s="11"/>
      <c r="O6" s="2"/>
    </row>
    <row r="7">
      <c r="A7" s="5">
        <v>6.0</v>
      </c>
      <c r="B7" s="26"/>
      <c r="C7" s="8"/>
      <c r="D7" s="9"/>
      <c r="E7" s="8"/>
      <c r="F7" s="10"/>
      <c r="G7" s="29"/>
      <c r="H7" s="11"/>
      <c r="I7" s="23" t="s">
        <v>29</v>
      </c>
      <c r="J7" s="14">
        <v>1.0</v>
      </c>
      <c r="K7" s="11"/>
      <c r="L7" s="11"/>
      <c r="M7" s="11"/>
      <c r="N7" s="11"/>
      <c r="O7" s="2"/>
    </row>
    <row r="8">
      <c r="A8" s="5">
        <v>7.0</v>
      </c>
      <c r="B8" s="26"/>
      <c r="C8" s="8"/>
      <c r="D8" s="20"/>
      <c r="E8" s="9"/>
      <c r="F8" s="10"/>
      <c r="G8" s="17"/>
      <c r="H8" s="11"/>
      <c r="I8" s="91" t="s">
        <v>34</v>
      </c>
      <c r="J8" s="117">
        <v>0.0</v>
      </c>
      <c r="K8" s="11"/>
      <c r="L8" s="11"/>
      <c r="M8" s="11"/>
      <c r="N8" s="11"/>
      <c r="O8" s="2"/>
    </row>
    <row r="9">
      <c r="A9" s="5">
        <v>8.0</v>
      </c>
      <c r="B9" s="26"/>
      <c r="C9" s="8"/>
      <c r="D9" s="9"/>
      <c r="E9" s="8"/>
      <c r="F9" s="10"/>
      <c r="G9" s="37"/>
      <c r="H9" s="11"/>
      <c r="I9" s="23" t="s">
        <v>38</v>
      </c>
      <c r="J9" s="14">
        <v>5.0</v>
      </c>
      <c r="K9" s="11"/>
      <c r="L9" s="11"/>
      <c r="M9" s="11"/>
      <c r="N9" s="11"/>
      <c r="O9" s="2"/>
    </row>
    <row r="10">
      <c r="A10" s="5">
        <v>9.0</v>
      </c>
      <c r="B10" s="30"/>
      <c r="C10" s="8"/>
      <c r="D10" s="9"/>
      <c r="E10" s="9"/>
      <c r="F10" s="10"/>
      <c r="G10" s="25"/>
      <c r="H10" s="11"/>
      <c r="I10" s="23" t="s">
        <v>40</v>
      </c>
      <c r="J10" s="14">
        <v>2.0</v>
      </c>
      <c r="K10" s="28"/>
      <c r="L10" s="28"/>
      <c r="M10" s="28"/>
      <c r="N10" s="28"/>
      <c r="O10" s="2"/>
    </row>
    <row r="11">
      <c r="A11" s="5"/>
      <c r="B11" s="73"/>
      <c r="C11" s="73"/>
      <c r="D11" s="73"/>
      <c r="E11" s="73"/>
      <c r="F11" s="73"/>
      <c r="G11" s="73"/>
      <c r="H11" s="11"/>
      <c r="I11" s="23" t="s">
        <v>175</v>
      </c>
      <c r="J11" s="32">
        <v>12.0</v>
      </c>
      <c r="K11" s="28"/>
      <c r="L11" s="28"/>
      <c r="M11" s="28"/>
      <c r="N11" s="28"/>
      <c r="O11" s="2"/>
    </row>
    <row r="12">
      <c r="A12" s="113"/>
      <c r="H12" s="11"/>
      <c r="I12" s="23" t="s">
        <v>171</v>
      </c>
      <c r="J12" s="32">
        <v>2.0</v>
      </c>
      <c r="K12" s="28"/>
      <c r="L12" s="28"/>
      <c r="M12" s="28"/>
      <c r="N12" s="28"/>
      <c r="O12" s="2"/>
    </row>
    <row r="13">
      <c r="A13" s="2"/>
      <c r="B13" s="33"/>
      <c r="C13" s="33"/>
      <c r="D13" s="2"/>
      <c r="E13" s="2"/>
      <c r="F13" s="35"/>
      <c r="G13" s="2"/>
      <c r="H13" s="11"/>
      <c r="I13" s="23" t="s">
        <v>48</v>
      </c>
      <c r="J13" s="32">
        <v>2.0</v>
      </c>
      <c r="K13" s="2"/>
      <c r="L13" s="2"/>
      <c r="M13" s="2"/>
      <c r="N13" s="2"/>
      <c r="O13" s="2"/>
    </row>
    <row r="14">
      <c r="A14" s="2"/>
      <c r="B14" s="33"/>
      <c r="C14" s="33"/>
      <c r="D14" s="2"/>
      <c r="E14" s="2"/>
      <c r="F14" s="35"/>
      <c r="G14" s="2"/>
      <c r="H14" s="11"/>
      <c r="I14" s="23" t="s">
        <v>49</v>
      </c>
      <c r="J14" s="32">
        <v>9.0</v>
      </c>
      <c r="K14" s="2"/>
      <c r="L14" s="2"/>
      <c r="M14" s="2"/>
      <c r="N14" s="2"/>
      <c r="O14" s="2"/>
    </row>
    <row r="15">
      <c r="A15" s="2"/>
      <c r="B15" s="33"/>
      <c r="C15" s="33"/>
      <c r="D15" s="2"/>
      <c r="E15" s="2"/>
      <c r="F15" s="35"/>
      <c r="G15" s="2"/>
      <c r="H15" s="11"/>
      <c r="I15" s="23" t="s">
        <v>178</v>
      </c>
      <c r="J15" s="120">
        <v>8.0</v>
      </c>
      <c r="K15" s="2"/>
      <c r="L15" s="2"/>
      <c r="M15" s="2"/>
      <c r="N15" s="2"/>
      <c r="O15" s="2"/>
    </row>
    <row r="16">
      <c r="A16" s="2"/>
      <c r="B16" s="33" t="s">
        <v>44</v>
      </c>
      <c r="C16" s="33">
        <v>2.0</v>
      </c>
      <c r="D16" s="2"/>
      <c r="E16" s="33" t="s">
        <v>179</v>
      </c>
      <c r="F16" s="35"/>
      <c r="G16" s="2"/>
      <c r="H16" s="11"/>
      <c r="I16" s="38" t="s">
        <v>46</v>
      </c>
      <c r="J16" s="43">
        <f>SUM(J2:J15)</f>
        <v>55</v>
      </c>
      <c r="K16" s="2"/>
      <c r="L16" s="2"/>
      <c r="M16" s="2"/>
      <c r="N16" s="2"/>
      <c r="O16" s="2"/>
    </row>
    <row r="17">
      <c r="A17" s="44"/>
      <c r="B17" s="44"/>
      <c r="C17" s="44"/>
      <c r="D17" s="2"/>
      <c r="E17" s="2"/>
      <c r="F17" s="2"/>
      <c r="G17" s="2"/>
      <c r="H17" s="11"/>
      <c r="K17" s="2"/>
      <c r="L17" s="2"/>
      <c r="M17" s="2"/>
      <c r="N17" s="2"/>
      <c r="O17" s="2"/>
    </row>
    <row r="18">
      <c r="A18" s="44"/>
      <c r="B18" s="44"/>
      <c r="C18" s="44"/>
      <c r="D18" s="2"/>
      <c r="E18" s="2"/>
      <c r="F18" s="2"/>
      <c r="G18" s="2"/>
      <c r="H18" s="11"/>
      <c r="I18" s="2"/>
      <c r="J18" s="2"/>
      <c r="K18" s="2"/>
      <c r="L18" s="2"/>
      <c r="M18" s="2"/>
      <c r="N18" s="2"/>
      <c r="O18" s="2"/>
    </row>
    <row r="19">
      <c r="A19" s="44"/>
      <c r="B19" s="44"/>
      <c r="C19" s="44"/>
      <c r="D19" s="2"/>
      <c r="E19" s="2"/>
      <c r="F19" s="2"/>
      <c r="G19" s="2"/>
      <c r="H19" s="11"/>
      <c r="K19" s="2"/>
      <c r="L19" s="2"/>
      <c r="M19" s="2"/>
      <c r="N19" s="2"/>
      <c r="O19" s="2"/>
    </row>
    <row r="20">
      <c r="A20" s="45" t="s">
        <v>0</v>
      </c>
      <c r="B20" s="45" t="s">
        <v>1</v>
      </c>
      <c r="C20" s="45" t="s">
        <v>2</v>
      </c>
      <c r="D20" s="45" t="s">
        <v>3</v>
      </c>
      <c r="E20" s="46"/>
      <c r="F20" s="45" t="s">
        <v>5</v>
      </c>
      <c r="G20" s="47" t="s">
        <v>9</v>
      </c>
      <c r="H20" s="11"/>
      <c r="I20" s="44"/>
      <c r="J20" s="2"/>
      <c r="K20" s="2"/>
      <c r="L20" s="2"/>
      <c r="M20" s="2"/>
      <c r="N20" s="2"/>
      <c r="O20" s="2"/>
    </row>
    <row r="21">
      <c r="A21" s="48">
        <v>1.0</v>
      </c>
      <c r="B21" s="6" t="s">
        <v>51</v>
      </c>
      <c r="C21" s="6" t="s">
        <v>10</v>
      </c>
      <c r="D21" s="49" t="s">
        <v>52</v>
      </c>
      <c r="E21" s="9" t="s">
        <v>53</v>
      </c>
      <c r="F21" s="48" t="s">
        <v>54</v>
      </c>
      <c r="G21" s="50"/>
      <c r="H21" s="11"/>
      <c r="I21" s="51"/>
      <c r="J21" s="2"/>
      <c r="K21" s="2"/>
      <c r="L21" s="2"/>
      <c r="M21" s="2"/>
      <c r="N21" s="2"/>
      <c r="O21" s="2"/>
    </row>
    <row r="22">
      <c r="A22" s="48">
        <v>2.0</v>
      </c>
      <c r="B22" s="26" t="s">
        <v>56</v>
      </c>
      <c r="C22" s="6" t="s">
        <v>10</v>
      </c>
      <c r="D22" s="49" t="s">
        <v>52</v>
      </c>
      <c r="E22" s="9" t="s">
        <v>53</v>
      </c>
      <c r="F22" s="48" t="s">
        <v>54</v>
      </c>
      <c r="G22" s="50"/>
      <c r="H22" s="11"/>
      <c r="I22" s="51"/>
      <c r="J22" s="2"/>
      <c r="K22" s="2"/>
      <c r="L22" s="2"/>
      <c r="M22" s="2"/>
      <c r="N22" s="2"/>
      <c r="O22" s="2"/>
    </row>
    <row r="23">
      <c r="A23" s="48">
        <v>3.0</v>
      </c>
      <c r="B23" s="26" t="s">
        <v>57</v>
      </c>
      <c r="C23" s="6" t="s">
        <v>10</v>
      </c>
      <c r="D23" s="49" t="s">
        <v>52</v>
      </c>
      <c r="E23" s="9" t="s">
        <v>53</v>
      </c>
      <c r="F23" s="48" t="s">
        <v>54</v>
      </c>
      <c r="G23" s="50"/>
      <c r="H23" s="11"/>
      <c r="I23" s="51"/>
      <c r="J23" s="2"/>
      <c r="K23" s="2"/>
      <c r="L23" s="2"/>
      <c r="M23" s="2"/>
      <c r="N23" s="2"/>
      <c r="O23" s="2"/>
    </row>
    <row r="24">
      <c r="A24" s="48">
        <v>4.0</v>
      </c>
      <c r="B24" s="121" t="s">
        <v>60</v>
      </c>
      <c r="C24" s="121" t="s">
        <v>10</v>
      </c>
      <c r="D24" s="68" t="s">
        <v>52</v>
      </c>
      <c r="E24" s="69" t="s">
        <v>53</v>
      </c>
      <c r="F24" s="48" t="s">
        <v>54</v>
      </c>
      <c r="G24" s="57" t="s">
        <v>181</v>
      </c>
      <c r="H24" s="11"/>
      <c r="I24" s="58"/>
      <c r="J24" s="2"/>
      <c r="K24" s="2"/>
      <c r="L24" s="2"/>
      <c r="M24" s="2"/>
      <c r="N24" s="2"/>
      <c r="O24" s="2"/>
    </row>
    <row r="25">
      <c r="A25" s="48">
        <v>5.0</v>
      </c>
      <c r="B25" s="26" t="s">
        <v>61</v>
      </c>
      <c r="C25" s="6" t="s">
        <v>10</v>
      </c>
      <c r="D25" s="49" t="s">
        <v>52</v>
      </c>
      <c r="E25" s="9" t="s">
        <v>53</v>
      </c>
      <c r="F25" s="48" t="s">
        <v>54</v>
      </c>
      <c r="G25" s="50"/>
      <c r="H25" s="11"/>
      <c r="I25" s="58"/>
      <c r="J25" s="2"/>
      <c r="K25" s="2"/>
      <c r="L25" s="2"/>
      <c r="M25" s="2"/>
      <c r="N25" s="2"/>
      <c r="O25" s="2"/>
    </row>
    <row r="26">
      <c r="A26" s="48">
        <v>6.0</v>
      </c>
      <c r="B26" s="26" t="s">
        <v>62</v>
      </c>
      <c r="C26" s="6" t="s">
        <v>10</v>
      </c>
      <c r="D26" s="49" t="s">
        <v>52</v>
      </c>
      <c r="E26" s="9" t="s">
        <v>53</v>
      </c>
      <c r="F26" s="48" t="s">
        <v>54</v>
      </c>
      <c r="G26" s="50"/>
      <c r="H26" s="11"/>
      <c r="I26" s="59"/>
      <c r="J26" s="2"/>
      <c r="K26" s="2"/>
      <c r="L26" s="2"/>
      <c r="M26" s="2"/>
      <c r="N26" s="2"/>
      <c r="O26" s="2"/>
    </row>
    <row r="27">
      <c r="A27" s="48">
        <v>7.0</v>
      </c>
      <c r="B27" s="26" t="s">
        <v>64</v>
      </c>
      <c r="C27" s="6" t="s">
        <v>10</v>
      </c>
      <c r="D27" s="49" t="s">
        <v>52</v>
      </c>
      <c r="E27" s="9" t="s">
        <v>53</v>
      </c>
      <c r="F27" s="48" t="s">
        <v>54</v>
      </c>
      <c r="G27" s="50"/>
      <c r="H27" s="11"/>
      <c r="I27" s="59"/>
      <c r="J27" s="2"/>
      <c r="K27" s="2"/>
      <c r="L27" s="2"/>
      <c r="M27" s="2"/>
      <c r="N27" s="2"/>
      <c r="O27" s="2"/>
    </row>
    <row r="28">
      <c r="A28" s="48">
        <v>8.0</v>
      </c>
      <c r="B28" s="26" t="s">
        <v>65</v>
      </c>
      <c r="C28" s="6" t="s">
        <v>10</v>
      </c>
      <c r="D28" s="49" t="s">
        <v>52</v>
      </c>
      <c r="E28" s="9" t="s">
        <v>53</v>
      </c>
      <c r="F28" s="48" t="s">
        <v>54</v>
      </c>
      <c r="G28" s="50"/>
      <c r="H28" s="11"/>
      <c r="I28" s="2"/>
      <c r="J28" s="2"/>
      <c r="K28" s="2"/>
      <c r="L28" s="2"/>
      <c r="M28" s="2"/>
      <c r="N28" s="2"/>
      <c r="O28" s="2"/>
    </row>
    <row r="29">
      <c r="A29" s="48">
        <v>9.0</v>
      </c>
      <c r="B29" s="26" t="s">
        <v>66</v>
      </c>
      <c r="C29" s="6" t="s">
        <v>10</v>
      </c>
      <c r="D29" s="49" t="s">
        <v>52</v>
      </c>
      <c r="E29" s="9" t="s">
        <v>53</v>
      </c>
      <c r="F29" s="48" t="s">
        <v>54</v>
      </c>
      <c r="G29" s="50"/>
      <c r="H29" s="11"/>
      <c r="I29" s="2"/>
      <c r="J29" s="2"/>
      <c r="K29" s="2"/>
      <c r="L29" s="2"/>
      <c r="M29" s="2"/>
      <c r="N29" s="2"/>
      <c r="O29" s="2"/>
    </row>
    <row r="30">
      <c r="A30" s="48">
        <v>10.0</v>
      </c>
      <c r="B30" s="61" t="s">
        <v>67</v>
      </c>
      <c r="C30" s="6" t="s">
        <v>10</v>
      </c>
      <c r="D30" s="49" t="s">
        <v>52</v>
      </c>
      <c r="E30" s="8" t="s">
        <v>53</v>
      </c>
      <c r="F30" s="48" t="s">
        <v>54</v>
      </c>
      <c r="G30" s="50"/>
      <c r="H30" s="11"/>
      <c r="I30" s="2"/>
      <c r="J30" s="2"/>
      <c r="K30" s="2"/>
      <c r="L30" s="2"/>
      <c r="M30" s="2"/>
      <c r="N30" s="2"/>
      <c r="O30" s="2"/>
    </row>
    <row r="31">
      <c r="A31" s="48">
        <v>11.0</v>
      </c>
      <c r="B31" s="6" t="s">
        <v>68</v>
      </c>
      <c r="C31" s="61" t="s">
        <v>10</v>
      </c>
      <c r="D31" s="49" t="s">
        <v>52</v>
      </c>
      <c r="E31" s="8" t="s">
        <v>53</v>
      </c>
      <c r="F31" s="48" t="s">
        <v>54</v>
      </c>
      <c r="G31" s="50"/>
      <c r="H31" s="11"/>
      <c r="I31" s="2"/>
      <c r="J31" s="2"/>
      <c r="K31" s="2"/>
      <c r="L31" s="2"/>
      <c r="M31" s="2"/>
      <c r="N31" s="2"/>
      <c r="O31" s="2"/>
    </row>
    <row r="32">
      <c r="A32" s="48">
        <v>12.0</v>
      </c>
      <c r="B32" s="97" t="s">
        <v>69</v>
      </c>
      <c r="C32" s="61" t="s">
        <v>10</v>
      </c>
      <c r="D32" s="49" t="s">
        <v>52</v>
      </c>
      <c r="E32" s="8" t="s">
        <v>53</v>
      </c>
      <c r="F32" s="48" t="s">
        <v>54</v>
      </c>
      <c r="G32" s="57" t="s">
        <v>173</v>
      </c>
      <c r="H32" s="11"/>
      <c r="I32" s="2"/>
      <c r="J32" s="2"/>
      <c r="K32" s="2"/>
      <c r="L32" s="2"/>
      <c r="M32" s="2"/>
      <c r="N32" s="2"/>
      <c r="O32" s="2"/>
    </row>
    <row r="33">
      <c r="A33" s="48">
        <v>13.0</v>
      </c>
      <c r="B33" s="118" t="s">
        <v>174</v>
      </c>
      <c r="C33" s="61" t="s">
        <v>10</v>
      </c>
      <c r="D33" s="119" t="s">
        <v>176</v>
      </c>
      <c r="E33" s="8" t="s">
        <v>53</v>
      </c>
      <c r="F33" s="73"/>
      <c r="G33" s="102" t="s">
        <v>177</v>
      </c>
      <c r="H33" s="11"/>
      <c r="I33" s="2"/>
      <c r="J33" s="2"/>
      <c r="K33" s="2"/>
      <c r="L33" s="2"/>
      <c r="M33" s="2"/>
      <c r="N33" s="2"/>
      <c r="O33" s="2"/>
    </row>
    <row r="34">
      <c r="A34" s="48">
        <v>14.0</v>
      </c>
      <c r="B34" s="123" t="s">
        <v>214</v>
      </c>
      <c r="C34" s="67" t="s">
        <v>10</v>
      </c>
      <c r="D34" s="124" t="s">
        <v>176</v>
      </c>
      <c r="E34" s="69" t="s">
        <v>53</v>
      </c>
      <c r="F34" s="125"/>
      <c r="G34" s="123" t="s">
        <v>183</v>
      </c>
      <c r="H34" s="11"/>
      <c r="I34" s="2"/>
      <c r="J34" s="2"/>
      <c r="K34" s="2"/>
      <c r="L34" s="2"/>
      <c r="M34" s="2"/>
      <c r="N34" s="2"/>
      <c r="O34" s="2"/>
    </row>
    <row r="35">
      <c r="A35" s="48"/>
      <c r="B35" s="123"/>
      <c r="C35" s="67"/>
      <c r="D35" s="124"/>
      <c r="E35" s="69"/>
      <c r="F35" s="125"/>
      <c r="G35" s="123"/>
      <c r="H35" s="11"/>
      <c r="I35" s="2"/>
      <c r="J35" s="2"/>
      <c r="K35" s="2"/>
      <c r="L35" s="2"/>
      <c r="M35" s="2"/>
      <c r="N35" s="2"/>
      <c r="O35" s="2"/>
    </row>
    <row r="36">
      <c r="E36" s="70" t="s">
        <v>74</v>
      </c>
      <c r="H36" s="11"/>
      <c r="I36" s="2"/>
      <c r="J36" s="2"/>
      <c r="K36" s="2"/>
      <c r="L36" s="2"/>
      <c r="M36" s="2"/>
      <c r="N36" s="2"/>
      <c r="O36" s="2"/>
    </row>
    <row r="37">
      <c r="H37" s="11"/>
      <c r="I37" s="2"/>
      <c r="J37" s="2"/>
      <c r="K37" s="2"/>
      <c r="L37" s="2"/>
      <c r="M37" s="2"/>
      <c r="N37" s="2"/>
      <c r="O37" s="2"/>
    </row>
    <row r="38">
      <c r="A38" s="45" t="s">
        <v>0</v>
      </c>
      <c r="B38" s="45" t="s">
        <v>1</v>
      </c>
      <c r="C38" s="45" t="s">
        <v>2</v>
      </c>
      <c r="D38" s="45" t="s">
        <v>3</v>
      </c>
      <c r="E38" s="46"/>
      <c r="F38" s="45" t="s">
        <v>5</v>
      </c>
      <c r="G38" s="47" t="s">
        <v>9</v>
      </c>
      <c r="H38" s="11"/>
      <c r="I38" s="2"/>
      <c r="J38" s="2"/>
      <c r="K38" s="2"/>
      <c r="L38" s="2"/>
      <c r="M38" s="2"/>
      <c r="N38" s="2"/>
      <c r="O38" s="2"/>
    </row>
    <row r="39">
      <c r="A39" s="48">
        <v>1.0</v>
      </c>
      <c r="B39" s="26" t="s">
        <v>71</v>
      </c>
      <c r="C39" s="26" t="s">
        <v>15</v>
      </c>
      <c r="D39" s="50" t="s">
        <v>72</v>
      </c>
      <c r="E39" s="57" t="s">
        <v>77</v>
      </c>
      <c r="F39" s="71">
        <v>2.0E7</v>
      </c>
      <c r="G39" s="73"/>
      <c r="H39" s="11"/>
      <c r="I39" s="2"/>
      <c r="J39" s="2"/>
      <c r="K39" s="2"/>
      <c r="L39" s="2"/>
      <c r="M39" s="2"/>
      <c r="N39" s="2"/>
      <c r="O39" s="2"/>
    </row>
    <row r="40">
      <c r="A40" s="48">
        <v>2.0</v>
      </c>
      <c r="B40" s="26" t="s">
        <v>75</v>
      </c>
      <c r="C40" s="26" t="s">
        <v>15</v>
      </c>
      <c r="D40" s="50" t="s">
        <v>72</v>
      </c>
      <c r="E40" s="57" t="s">
        <v>79</v>
      </c>
      <c r="F40" s="71">
        <v>2.0E7</v>
      </c>
      <c r="G40" s="73"/>
      <c r="H40" s="11"/>
      <c r="I40" s="2"/>
      <c r="J40" s="2"/>
      <c r="K40" s="2"/>
      <c r="L40" s="2"/>
      <c r="M40" s="2"/>
      <c r="N40" s="2"/>
      <c r="O40" s="2"/>
    </row>
    <row r="41">
      <c r="A41" s="48">
        <v>3.0</v>
      </c>
      <c r="B41" s="26" t="s">
        <v>76</v>
      </c>
      <c r="C41" s="26" t="s">
        <v>15</v>
      </c>
      <c r="D41" s="50" t="s">
        <v>72</v>
      </c>
      <c r="E41" s="57" t="s">
        <v>79</v>
      </c>
      <c r="F41" s="71">
        <v>2.0E7</v>
      </c>
      <c r="G41" s="50"/>
      <c r="H41" s="11"/>
      <c r="I41" s="2"/>
      <c r="J41" s="2"/>
      <c r="K41" s="2"/>
      <c r="L41" s="2"/>
      <c r="M41" s="2"/>
      <c r="N41" s="2"/>
      <c r="O41" s="2"/>
    </row>
    <row r="42">
      <c r="A42" s="48">
        <v>4.0</v>
      </c>
      <c r="B42" s="72" t="s">
        <v>78</v>
      </c>
      <c r="C42" s="26" t="s">
        <v>15</v>
      </c>
      <c r="D42" s="50" t="s">
        <v>72</v>
      </c>
      <c r="E42" s="57" t="s">
        <v>77</v>
      </c>
      <c r="F42" s="71">
        <v>2.0E7</v>
      </c>
      <c r="G42" s="50"/>
      <c r="H42" s="11"/>
      <c r="I42" s="2"/>
      <c r="J42" s="2"/>
      <c r="K42" s="2"/>
      <c r="L42" s="2"/>
      <c r="M42" s="2"/>
      <c r="N42" s="2"/>
      <c r="O42" s="2"/>
    </row>
    <row r="43">
      <c r="A43" s="77">
        <v>5.0</v>
      </c>
      <c r="B43" s="6" t="s">
        <v>83</v>
      </c>
      <c r="C43" s="26" t="s">
        <v>15</v>
      </c>
      <c r="D43" s="50" t="s">
        <v>81</v>
      </c>
      <c r="E43" s="50" t="s">
        <v>84</v>
      </c>
      <c r="F43" s="75"/>
      <c r="G43" s="50"/>
      <c r="H43" s="11"/>
      <c r="I43" s="2"/>
      <c r="J43" s="2"/>
      <c r="K43" s="2"/>
      <c r="L43" s="2"/>
      <c r="M43" s="2"/>
      <c r="N43" s="2"/>
      <c r="O43" s="2"/>
    </row>
    <row r="44">
      <c r="A44" s="77">
        <v>6.0</v>
      </c>
      <c r="B44" s="6" t="s">
        <v>85</v>
      </c>
      <c r="C44" s="8" t="s">
        <v>10</v>
      </c>
      <c r="D44" s="50" t="s">
        <v>81</v>
      </c>
      <c r="E44" s="50" t="s">
        <v>84</v>
      </c>
      <c r="F44" s="75"/>
      <c r="G44" s="50"/>
      <c r="H44" s="11"/>
      <c r="I44" s="2"/>
      <c r="J44" s="2"/>
      <c r="K44" s="2"/>
      <c r="L44" s="2"/>
      <c r="M44" s="2"/>
      <c r="N44" s="2"/>
      <c r="O44" s="2"/>
    </row>
    <row r="45">
      <c r="A45" s="66">
        <v>7.0</v>
      </c>
      <c r="B45" s="121" t="s">
        <v>110</v>
      </c>
      <c r="C45" s="69" t="s">
        <v>10</v>
      </c>
      <c r="D45" s="126" t="s">
        <v>184</v>
      </c>
      <c r="E45" s="126" t="s">
        <v>185</v>
      </c>
      <c r="F45" s="127"/>
      <c r="G45" s="126" t="s">
        <v>186</v>
      </c>
      <c r="H45" s="28"/>
      <c r="I45" s="44"/>
      <c r="J45" s="44"/>
      <c r="K45" s="44"/>
      <c r="L45" s="44"/>
      <c r="M45" s="44"/>
      <c r="N45" s="44"/>
      <c r="O45" s="44"/>
    </row>
    <row r="46">
      <c r="E46" s="70" t="s">
        <v>86</v>
      </c>
      <c r="G46" s="74"/>
      <c r="H46" s="11"/>
      <c r="I46" s="74"/>
      <c r="J46" s="74"/>
      <c r="K46" s="74"/>
      <c r="L46" s="74"/>
      <c r="M46" s="74"/>
      <c r="N46" s="74"/>
      <c r="O46" s="2"/>
    </row>
    <row r="47">
      <c r="G47" s="74"/>
      <c r="H47" s="11"/>
      <c r="I47" s="74"/>
      <c r="J47" s="74"/>
      <c r="K47" s="74"/>
      <c r="L47" s="74"/>
      <c r="M47" s="74"/>
      <c r="N47" s="74"/>
      <c r="O47" s="2"/>
    </row>
    <row r="48">
      <c r="A48" s="2"/>
      <c r="B48" s="2"/>
      <c r="C48" s="2"/>
      <c r="D48" s="2"/>
      <c r="E48" s="2"/>
      <c r="F48" s="2"/>
      <c r="G48" s="2"/>
      <c r="H48" s="11"/>
      <c r="I48" s="2"/>
      <c r="J48" s="2"/>
      <c r="K48" s="2"/>
      <c r="L48" s="2"/>
      <c r="M48" s="2"/>
      <c r="N48" s="2"/>
      <c r="O48" s="2"/>
    </row>
    <row r="49">
      <c r="A49" s="45" t="s">
        <v>0</v>
      </c>
      <c r="B49" s="45" t="s">
        <v>1</v>
      </c>
      <c r="C49" s="46"/>
      <c r="D49" s="45" t="s">
        <v>3</v>
      </c>
      <c r="E49" s="46"/>
      <c r="F49" s="45" t="s">
        <v>5</v>
      </c>
      <c r="G49" s="47" t="s">
        <v>9</v>
      </c>
      <c r="H49" s="11"/>
      <c r="I49" s="2"/>
      <c r="J49" s="2"/>
      <c r="K49" s="2"/>
      <c r="L49" s="2"/>
      <c r="M49" s="2"/>
      <c r="N49" s="2"/>
      <c r="O49" s="2"/>
    </row>
    <row r="50">
      <c r="A50" s="60">
        <v>1.0</v>
      </c>
      <c r="B50" s="6" t="s">
        <v>87</v>
      </c>
      <c r="C50" s="9" t="s">
        <v>10</v>
      </c>
      <c r="D50" s="50" t="s">
        <v>81</v>
      </c>
      <c r="E50" s="50" t="s">
        <v>88</v>
      </c>
      <c r="F50" s="78">
        <v>4.0E7</v>
      </c>
      <c r="G50" s="83" t="s">
        <v>99</v>
      </c>
      <c r="H50" s="11"/>
      <c r="I50" s="2"/>
      <c r="J50" s="2"/>
      <c r="K50" s="2"/>
      <c r="L50" s="2"/>
      <c r="M50" s="2"/>
      <c r="N50" s="2"/>
      <c r="O50" s="2"/>
    </row>
    <row r="51">
      <c r="A51" s="57">
        <v>8.0</v>
      </c>
      <c r="B51" s="146" t="s">
        <v>218</v>
      </c>
      <c r="C51" s="144" t="s">
        <v>10</v>
      </c>
      <c r="D51" s="126" t="s">
        <v>104</v>
      </c>
      <c r="E51" s="126" t="s">
        <v>101</v>
      </c>
      <c r="F51" s="144"/>
      <c r="G51" s="126" t="s">
        <v>207</v>
      </c>
      <c r="H51" s="89"/>
      <c r="I51" s="2"/>
      <c r="J51" s="2"/>
      <c r="K51" s="2"/>
      <c r="L51" s="2"/>
      <c r="M51" s="2"/>
      <c r="N51" s="2"/>
      <c r="O51" s="2"/>
    </row>
    <row r="52">
      <c r="G52" s="44"/>
      <c r="H52" s="11"/>
      <c r="I52" s="2"/>
      <c r="J52" s="2"/>
      <c r="K52" s="2"/>
      <c r="L52" s="2"/>
      <c r="M52" s="2"/>
      <c r="N52" s="2"/>
      <c r="O52" s="2"/>
    </row>
    <row r="53">
      <c r="E53" s="70" t="s">
        <v>106</v>
      </c>
      <c r="G53" s="85"/>
      <c r="H53" s="11"/>
      <c r="I53" s="85"/>
      <c r="J53" s="85"/>
      <c r="K53" s="85"/>
      <c r="L53" s="85"/>
      <c r="M53" s="85"/>
      <c r="N53" s="85"/>
      <c r="O53" s="2"/>
    </row>
    <row r="54">
      <c r="H54" s="2"/>
      <c r="I54" s="2"/>
      <c r="J54" s="2"/>
      <c r="K54" s="2"/>
      <c r="L54" s="2"/>
      <c r="M54" s="2"/>
      <c r="N54" s="2"/>
      <c r="O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>
      <c r="G56" s="2"/>
      <c r="H56" s="2"/>
      <c r="I56" s="2"/>
      <c r="J56" s="2"/>
      <c r="K56" s="2"/>
      <c r="L56" s="2"/>
      <c r="M56" s="2"/>
      <c r="N56" s="2"/>
      <c r="O56" s="2"/>
    </row>
    <row r="57">
      <c r="A57" s="45" t="s">
        <v>0</v>
      </c>
      <c r="B57" s="45" t="s">
        <v>1</v>
      </c>
      <c r="C57" s="46"/>
      <c r="D57" s="45" t="s">
        <v>3</v>
      </c>
      <c r="E57" s="46"/>
      <c r="F57" s="45" t="s">
        <v>5</v>
      </c>
      <c r="G57" s="47" t="s">
        <v>9</v>
      </c>
      <c r="H57" s="2"/>
      <c r="I57" s="2"/>
      <c r="J57" s="2"/>
      <c r="K57" s="2"/>
      <c r="L57" s="2"/>
      <c r="M57" s="2"/>
      <c r="N57" s="2"/>
      <c r="O57" s="2"/>
    </row>
    <row r="58">
      <c r="A58" s="60">
        <v>2.0</v>
      </c>
      <c r="B58" s="61" t="s">
        <v>112</v>
      </c>
      <c r="C58" s="8" t="s">
        <v>10</v>
      </c>
      <c r="D58" s="57" t="s">
        <v>113</v>
      </c>
      <c r="E58" s="57" t="s">
        <v>219</v>
      </c>
      <c r="F58" s="62"/>
      <c r="G58" s="57" t="s">
        <v>220</v>
      </c>
      <c r="H58" s="2"/>
      <c r="I58" s="2"/>
      <c r="J58" s="2"/>
      <c r="K58" s="2"/>
      <c r="L58" s="2"/>
      <c r="M58" s="2"/>
      <c r="N58" s="2"/>
      <c r="O58" s="2"/>
    </row>
    <row r="59">
      <c r="A59" s="60">
        <v>4.0</v>
      </c>
      <c r="B59" s="92" t="s">
        <v>119</v>
      </c>
      <c r="C59" s="8" t="s">
        <v>10</v>
      </c>
      <c r="D59" s="57" t="s">
        <v>113</v>
      </c>
      <c r="E59" s="57" t="s">
        <v>219</v>
      </c>
      <c r="F59" s="50"/>
      <c r="G59" s="57" t="s">
        <v>221</v>
      </c>
      <c r="H59" s="33"/>
      <c r="I59" s="2"/>
      <c r="J59" s="2"/>
      <c r="K59" s="2"/>
      <c r="L59" s="2"/>
      <c r="M59" s="2"/>
      <c r="N59" s="2"/>
      <c r="O59" s="2"/>
    </row>
    <row r="60">
      <c r="A60" s="50"/>
      <c r="B60" s="50"/>
      <c r="C60" s="50"/>
      <c r="D60" s="50"/>
      <c r="E60" s="50"/>
      <c r="F60" s="50"/>
      <c r="G60" s="50"/>
      <c r="H60" s="2"/>
      <c r="I60" s="2"/>
      <c r="J60" s="2"/>
      <c r="K60" s="2"/>
      <c r="L60" s="2"/>
      <c r="M60" s="2"/>
      <c r="N60" s="2"/>
      <c r="O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>
      <c r="A62" s="44"/>
      <c r="B62" s="44"/>
      <c r="C62" s="44"/>
      <c r="D62" s="44"/>
      <c r="E62" s="99" t="s">
        <v>127</v>
      </c>
      <c r="F62" s="44"/>
      <c r="G62" s="2"/>
      <c r="H62" s="2"/>
      <c r="I62" s="2"/>
      <c r="J62" s="2"/>
      <c r="K62" s="2"/>
      <c r="L62" s="2"/>
      <c r="M62" s="2"/>
      <c r="N62" s="2"/>
      <c r="O62" s="2"/>
    </row>
    <row r="63">
      <c r="A63" s="44"/>
      <c r="B63" s="44"/>
      <c r="C63" s="44"/>
      <c r="D63" s="44"/>
      <c r="E63" s="44"/>
      <c r="F63" s="44"/>
      <c r="G63" s="2"/>
      <c r="H63" s="2"/>
      <c r="I63" s="2"/>
      <c r="J63" s="2"/>
      <c r="K63" s="2"/>
      <c r="L63" s="2"/>
      <c r="M63" s="2"/>
      <c r="N63" s="2"/>
      <c r="O63" s="2"/>
    </row>
    <row r="64">
      <c r="A64" s="45" t="s">
        <v>0</v>
      </c>
      <c r="B64" s="45" t="s">
        <v>1</v>
      </c>
      <c r="C64" s="46"/>
      <c r="D64" s="45" t="s">
        <v>3</v>
      </c>
      <c r="E64" s="46"/>
      <c r="F64" s="45" t="s">
        <v>5</v>
      </c>
      <c r="G64" s="47" t="s">
        <v>9</v>
      </c>
      <c r="H64" s="2"/>
      <c r="I64" s="2"/>
      <c r="J64" s="2"/>
      <c r="K64" s="2"/>
      <c r="L64" s="2"/>
      <c r="M64" s="2"/>
      <c r="N64" s="2"/>
      <c r="O64" s="2"/>
    </row>
    <row r="65">
      <c r="A65" s="60">
        <v>1.0</v>
      </c>
      <c r="B65" s="97" t="s">
        <v>223</v>
      </c>
      <c r="C65" s="9" t="s">
        <v>10</v>
      </c>
      <c r="D65" s="57" t="s">
        <v>126</v>
      </c>
      <c r="E65" s="57" t="s">
        <v>224</v>
      </c>
      <c r="F65" s="98"/>
      <c r="G65" s="50"/>
      <c r="H65" s="2"/>
      <c r="I65" s="2"/>
      <c r="J65" s="2"/>
      <c r="K65" s="2"/>
      <c r="L65" s="2"/>
      <c r="M65" s="2"/>
      <c r="N65" s="2"/>
      <c r="O65" s="2"/>
    </row>
    <row r="66">
      <c r="A66" s="77">
        <v>2.0</v>
      </c>
      <c r="B66" s="100" t="s">
        <v>215</v>
      </c>
      <c r="C66" s="9" t="s">
        <v>10</v>
      </c>
      <c r="D66" s="57" t="s">
        <v>126</v>
      </c>
      <c r="E66" s="57" t="s">
        <v>224</v>
      </c>
      <c r="F66" s="62"/>
      <c r="G66" s="50"/>
      <c r="H66" s="2"/>
      <c r="I66" s="2"/>
      <c r="J66" s="2"/>
      <c r="K66" s="2"/>
      <c r="L66" s="2"/>
      <c r="M66" s="2"/>
      <c r="N66" s="2"/>
      <c r="O66" s="2"/>
    </row>
    <row r="67">
      <c r="A67" s="102">
        <v>3.0</v>
      </c>
      <c r="B67" s="97" t="s">
        <v>129</v>
      </c>
      <c r="C67" s="9" t="s">
        <v>10</v>
      </c>
      <c r="D67" s="102" t="s">
        <v>131</v>
      </c>
      <c r="E67" s="57" t="s">
        <v>224</v>
      </c>
      <c r="F67" s="73"/>
      <c r="G67" s="50"/>
      <c r="H67" s="2"/>
      <c r="I67" s="2"/>
      <c r="J67" s="2"/>
      <c r="K67" s="2"/>
      <c r="L67" s="2"/>
      <c r="M67" s="2"/>
      <c r="N67" s="2"/>
      <c r="O67" s="2"/>
    </row>
    <row r="68">
      <c r="A68" s="102">
        <v>4.0</v>
      </c>
      <c r="B68" s="97" t="s">
        <v>138</v>
      </c>
      <c r="C68" s="103" t="s">
        <v>10</v>
      </c>
      <c r="D68" s="102" t="s">
        <v>131</v>
      </c>
      <c r="E68" s="57" t="s">
        <v>224</v>
      </c>
      <c r="F68" s="73"/>
      <c r="G68" s="57"/>
      <c r="H68" s="2"/>
      <c r="I68" s="2"/>
      <c r="J68" s="2"/>
      <c r="K68" s="2"/>
      <c r="L68" s="2"/>
      <c r="M68" s="2"/>
      <c r="N68" s="2"/>
      <c r="O68" s="2"/>
    </row>
    <row r="69">
      <c r="A69" s="102">
        <v>5.0</v>
      </c>
      <c r="B69" s="150" t="s">
        <v>225</v>
      </c>
      <c r="C69" s="8" t="s">
        <v>10</v>
      </c>
      <c r="D69" s="151" t="s">
        <v>131</v>
      </c>
      <c r="E69" s="57" t="s">
        <v>224</v>
      </c>
      <c r="F69" s="152"/>
      <c r="G69" s="84"/>
      <c r="H69" s="2"/>
      <c r="I69" s="2"/>
      <c r="J69" s="2"/>
      <c r="K69" s="2"/>
      <c r="L69" s="2"/>
      <c r="M69" s="2"/>
      <c r="N69" s="2"/>
      <c r="O69" s="2"/>
    </row>
    <row r="70">
      <c r="A70" s="102">
        <v>6.0</v>
      </c>
      <c r="B70" s="100" t="s">
        <v>136</v>
      </c>
      <c r="C70" s="9" t="s">
        <v>10</v>
      </c>
      <c r="D70" s="102" t="s">
        <v>137</v>
      </c>
      <c r="E70" s="57" t="s">
        <v>224</v>
      </c>
      <c r="F70" s="73"/>
      <c r="G70" s="50"/>
      <c r="H70" s="2"/>
      <c r="I70" s="2"/>
      <c r="J70" s="2"/>
      <c r="K70" s="2"/>
      <c r="L70" s="2"/>
      <c r="M70" s="2"/>
      <c r="N70" s="2"/>
      <c r="O70" s="2"/>
    </row>
    <row r="71">
      <c r="A71" s="57">
        <v>8.0</v>
      </c>
      <c r="B71" s="109" t="s">
        <v>216</v>
      </c>
      <c r="C71" s="9" t="s">
        <v>10</v>
      </c>
      <c r="D71" s="102" t="s">
        <v>137</v>
      </c>
      <c r="E71" s="57" t="s">
        <v>224</v>
      </c>
      <c r="F71" s="50"/>
      <c r="G71" s="50"/>
      <c r="H71" s="2"/>
      <c r="I71" s="2"/>
      <c r="J71" s="2"/>
      <c r="K71" s="2"/>
      <c r="L71" s="2"/>
      <c r="M71" s="2"/>
      <c r="N71" s="2"/>
      <c r="O71" s="2"/>
    </row>
    <row r="72">
      <c r="A72" s="57">
        <v>9.0</v>
      </c>
      <c r="B72" s="109" t="s">
        <v>217</v>
      </c>
      <c r="C72" s="9" t="s">
        <v>10</v>
      </c>
      <c r="D72" s="102" t="s">
        <v>137</v>
      </c>
      <c r="E72" s="57" t="s">
        <v>224</v>
      </c>
      <c r="F72" s="50"/>
      <c r="G72" s="50"/>
      <c r="H72" s="2"/>
      <c r="I72" s="2"/>
      <c r="J72" s="2"/>
      <c r="K72" s="2"/>
      <c r="L72" s="2"/>
      <c r="M72" s="2"/>
      <c r="N72" s="2"/>
      <c r="O72" s="2"/>
    </row>
    <row r="73">
      <c r="A73" s="33">
        <v>10.0</v>
      </c>
      <c r="B73" s="154" t="s">
        <v>226</v>
      </c>
      <c r="C73" s="9" t="s">
        <v>10</v>
      </c>
      <c r="D73" s="151" t="s">
        <v>131</v>
      </c>
      <c r="E73" s="57" t="s">
        <v>227</v>
      </c>
      <c r="F73" s="2"/>
      <c r="G73" s="50"/>
      <c r="H73" s="2"/>
      <c r="I73" s="2"/>
      <c r="J73" s="2"/>
      <c r="K73" s="2"/>
      <c r="L73" s="2"/>
      <c r="M73" s="2"/>
      <c r="N73" s="2"/>
      <c r="O73" s="2"/>
    </row>
    <row r="74">
      <c r="A74" s="57">
        <v>11.0</v>
      </c>
      <c r="B74" s="23" t="s">
        <v>228</v>
      </c>
      <c r="C74" s="9" t="s">
        <v>10</v>
      </c>
      <c r="D74" s="102" t="s">
        <v>137</v>
      </c>
      <c r="E74" s="57" t="s">
        <v>227</v>
      </c>
      <c r="F74" s="2"/>
      <c r="G74" s="50"/>
      <c r="H74" s="2"/>
      <c r="I74" s="2"/>
      <c r="J74" s="2"/>
      <c r="K74" s="2"/>
      <c r="L74" s="2"/>
      <c r="M74" s="2"/>
      <c r="N74" s="2"/>
      <c r="O74" s="2"/>
    </row>
    <row r="75">
      <c r="A75" s="33">
        <v>12.0</v>
      </c>
      <c r="B75" s="154" t="s">
        <v>229</v>
      </c>
      <c r="C75" s="9" t="s">
        <v>10</v>
      </c>
      <c r="D75" s="102" t="s">
        <v>137</v>
      </c>
      <c r="E75" s="57" t="s">
        <v>227</v>
      </c>
      <c r="F75" s="2"/>
      <c r="G75" s="50"/>
      <c r="H75" s="2"/>
      <c r="I75" s="2"/>
      <c r="J75" s="2"/>
      <c r="K75" s="2"/>
      <c r="L75" s="2"/>
      <c r="M75" s="2"/>
      <c r="N75" s="2"/>
      <c r="O75" s="2"/>
    </row>
    <row r="76">
      <c r="A76" s="57">
        <v>13.0</v>
      </c>
      <c r="B76" s="154" t="s">
        <v>230</v>
      </c>
      <c r="C76" s="9" t="s">
        <v>10</v>
      </c>
      <c r="D76" s="102" t="s">
        <v>137</v>
      </c>
      <c r="E76" s="57" t="s">
        <v>227</v>
      </c>
      <c r="F76" s="2"/>
      <c r="G76" s="50"/>
      <c r="H76" s="2"/>
      <c r="I76" s="2"/>
      <c r="J76" s="2"/>
      <c r="K76" s="2"/>
      <c r="L76" s="2"/>
      <c r="M76" s="2"/>
      <c r="N76" s="2"/>
      <c r="O76" s="2"/>
    </row>
    <row r="77">
      <c r="A77" s="33">
        <v>14.0</v>
      </c>
      <c r="B77" s="23" t="s">
        <v>107</v>
      </c>
      <c r="C77" s="9" t="s">
        <v>10</v>
      </c>
      <c r="D77" s="102" t="s">
        <v>231</v>
      </c>
      <c r="E77" s="57" t="s">
        <v>227</v>
      </c>
      <c r="F77" s="2"/>
      <c r="G77" s="50"/>
      <c r="H77" s="2"/>
      <c r="I77" s="2"/>
      <c r="J77" s="2"/>
      <c r="K77" s="2"/>
      <c r="L77" s="2"/>
      <c r="M77" s="2"/>
      <c r="N77" s="2"/>
      <c r="O77" s="2"/>
    </row>
    <row r="78">
      <c r="A78" s="57">
        <v>15.0</v>
      </c>
      <c r="B78" s="155" t="s">
        <v>232</v>
      </c>
      <c r="C78" s="9" t="s">
        <v>10</v>
      </c>
      <c r="D78" s="102" t="s">
        <v>233</v>
      </c>
      <c r="E78" s="57" t="s">
        <v>234</v>
      </c>
      <c r="F78" s="2"/>
      <c r="G78" s="50"/>
      <c r="H78" s="2"/>
      <c r="I78" s="2"/>
      <c r="J78" s="2"/>
      <c r="K78" s="2"/>
      <c r="L78" s="2"/>
      <c r="M78" s="2"/>
      <c r="N78" s="2"/>
      <c r="O78" s="2"/>
    </row>
    <row r="79">
      <c r="A79" s="33">
        <v>16.0</v>
      </c>
      <c r="B79" s="155" t="s">
        <v>235</v>
      </c>
      <c r="C79" s="9" t="s">
        <v>10</v>
      </c>
      <c r="D79" s="102" t="s">
        <v>236</v>
      </c>
      <c r="E79" s="57" t="s">
        <v>234</v>
      </c>
      <c r="F79" s="2"/>
      <c r="G79" s="50"/>
      <c r="H79" s="2"/>
      <c r="I79" s="2"/>
      <c r="J79" s="2"/>
      <c r="K79" s="2"/>
      <c r="L79" s="2"/>
      <c r="M79" s="2"/>
      <c r="N79" s="2"/>
      <c r="O79" s="2"/>
    </row>
    <row r="80">
      <c r="A80" s="57">
        <v>17.0</v>
      </c>
      <c r="B80" s="156" t="s">
        <v>89</v>
      </c>
      <c r="C80" s="9" t="s">
        <v>10</v>
      </c>
      <c r="D80" s="102" t="s">
        <v>237</v>
      </c>
      <c r="E80" s="57" t="s">
        <v>234</v>
      </c>
      <c r="F80" s="2"/>
      <c r="G80" s="50"/>
      <c r="H80" s="2"/>
      <c r="I80" s="2"/>
      <c r="J80" s="2"/>
      <c r="K80" s="2"/>
      <c r="L80" s="2"/>
      <c r="M80" s="2"/>
      <c r="N80" s="2"/>
      <c r="O80" s="2"/>
    </row>
    <row r="81">
      <c r="A81" s="33"/>
      <c r="C81" s="63"/>
      <c r="D81" s="70"/>
      <c r="E81" s="33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>
      <c r="A82" s="33"/>
      <c r="B82" s="157"/>
      <c r="C82" s="63"/>
      <c r="D82" s="70"/>
      <c r="E82" s="33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>
      <c r="A83" s="2"/>
      <c r="B83" s="4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>
      <c r="A84" s="45" t="s">
        <v>0</v>
      </c>
      <c r="B84" s="45" t="s">
        <v>1</v>
      </c>
      <c r="C84" s="46"/>
      <c r="D84" s="45" t="s">
        <v>3</v>
      </c>
      <c r="E84" s="46"/>
      <c r="F84" s="45" t="s">
        <v>5</v>
      </c>
      <c r="G84" s="47" t="s">
        <v>9</v>
      </c>
      <c r="H84" s="2"/>
      <c r="I84" s="2"/>
      <c r="J84" s="2"/>
      <c r="K84" s="2"/>
      <c r="L84" s="2"/>
      <c r="M84" s="2"/>
      <c r="N84" s="2"/>
      <c r="O84" s="2"/>
    </row>
    <row r="85">
      <c r="A85" s="60">
        <v>1.0</v>
      </c>
      <c r="B85" s="97" t="s">
        <v>141</v>
      </c>
      <c r="C85" s="9" t="s">
        <v>10</v>
      </c>
      <c r="D85" s="57" t="s">
        <v>142</v>
      </c>
      <c r="E85" s="57" t="s">
        <v>29</v>
      </c>
      <c r="F85" s="98">
        <v>1.87E7</v>
      </c>
      <c r="G85" s="57" t="s">
        <v>143</v>
      </c>
      <c r="H85" s="33" t="s">
        <v>144</v>
      </c>
      <c r="I85" s="2"/>
      <c r="J85" s="2"/>
      <c r="K85" s="2"/>
      <c r="L85" s="2"/>
      <c r="M85" s="2"/>
      <c r="N85" s="2"/>
      <c r="O85" s="2"/>
    </row>
    <row r="86">
      <c r="A86" s="60"/>
      <c r="B86" s="6"/>
      <c r="C86" s="8"/>
      <c r="D86" s="50"/>
      <c r="E86" s="50"/>
      <c r="F86" s="62"/>
      <c r="G86" s="48"/>
      <c r="H86" s="2"/>
      <c r="I86" s="2"/>
      <c r="J86" s="2"/>
      <c r="K86" s="2"/>
      <c r="L86" s="2"/>
      <c r="M86" s="2"/>
      <c r="N86" s="2"/>
      <c r="O86" s="2"/>
    </row>
    <row r="87">
      <c r="G87" s="101"/>
      <c r="H87" s="2"/>
      <c r="I87" s="2"/>
      <c r="J87" s="2"/>
      <c r="K87" s="2"/>
      <c r="L87" s="2"/>
      <c r="M87" s="2"/>
      <c r="N87" s="2"/>
      <c r="O87" s="2"/>
    </row>
    <row r="88">
      <c r="G88" s="2"/>
      <c r="H88" s="2"/>
      <c r="I88" s="2"/>
      <c r="J88" s="2"/>
      <c r="K88" s="2"/>
      <c r="L88" s="2"/>
      <c r="M88" s="2"/>
      <c r="N88" s="2"/>
      <c r="O88" s="2"/>
    </row>
    <row r="89">
      <c r="A89" s="45" t="s">
        <v>0</v>
      </c>
      <c r="B89" s="45" t="s">
        <v>1</v>
      </c>
      <c r="C89" s="46"/>
      <c r="D89" s="45" t="s">
        <v>3</v>
      </c>
      <c r="E89" s="46"/>
      <c r="F89" s="45" t="s">
        <v>5</v>
      </c>
      <c r="G89" s="47" t="s">
        <v>9</v>
      </c>
      <c r="H89" s="2"/>
      <c r="I89" s="2"/>
      <c r="J89" s="2"/>
      <c r="K89" s="2"/>
      <c r="L89" s="2"/>
      <c r="M89" s="2"/>
      <c r="N89" s="2"/>
      <c r="O89" s="2"/>
    </row>
    <row r="90">
      <c r="A90" s="77">
        <v>2.0</v>
      </c>
      <c r="B90" s="97" t="s">
        <v>149</v>
      </c>
      <c r="C90" s="9" t="s">
        <v>10</v>
      </c>
      <c r="D90" s="57" t="s">
        <v>150</v>
      </c>
      <c r="E90" s="57" t="s">
        <v>147</v>
      </c>
      <c r="F90" s="98">
        <v>1.87E7</v>
      </c>
      <c r="G90" s="57" t="s">
        <v>151</v>
      </c>
      <c r="H90" s="2"/>
      <c r="I90" s="2"/>
      <c r="J90" s="2"/>
      <c r="K90" s="2"/>
      <c r="L90" s="2"/>
      <c r="M90" s="2"/>
      <c r="N90" s="2"/>
      <c r="O90" s="2"/>
    </row>
    <row r="91">
      <c r="A91" s="65">
        <v>3.0</v>
      </c>
      <c r="B91" s="66" t="s">
        <v>191</v>
      </c>
      <c r="C91" s="140" t="s">
        <v>15</v>
      </c>
      <c r="D91" s="126" t="s">
        <v>150</v>
      </c>
      <c r="E91" s="126" t="s">
        <v>147</v>
      </c>
      <c r="F91" s="141"/>
      <c r="G91" s="126" t="s">
        <v>192</v>
      </c>
      <c r="H91" s="2"/>
      <c r="I91" s="2"/>
      <c r="J91" s="2"/>
      <c r="K91" s="2"/>
      <c r="L91" s="2"/>
      <c r="M91" s="2"/>
      <c r="N91" s="2"/>
      <c r="O91" s="2"/>
    </row>
    <row r="92">
      <c r="G92" s="2"/>
      <c r="H92" s="2"/>
      <c r="I92" s="2"/>
      <c r="J92" s="2"/>
      <c r="K92" s="2"/>
      <c r="L92" s="2"/>
      <c r="M92" s="2"/>
      <c r="N92" s="2"/>
      <c r="O92" s="2"/>
    </row>
    <row r="93">
      <c r="A93" s="45" t="s">
        <v>0</v>
      </c>
      <c r="B93" s="45" t="s">
        <v>1</v>
      </c>
      <c r="C93" s="46"/>
      <c r="D93" s="45" t="s">
        <v>3</v>
      </c>
      <c r="E93" s="108"/>
      <c r="F93" s="1" t="s">
        <v>5</v>
      </c>
      <c r="G93" s="47" t="s">
        <v>9</v>
      </c>
      <c r="H93" s="2"/>
      <c r="I93" s="2"/>
      <c r="J93" s="2"/>
      <c r="K93" s="2"/>
      <c r="L93" s="2"/>
      <c r="M93" s="2"/>
      <c r="N93" s="2"/>
      <c r="O93" s="2"/>
    </row>
    <row r="94">
      <c r="A94" s="60">
        <v>1.0</v>
      </c>
      <c r="B94" s="109" t="s">
        <v>152</v>
      </c>
      <c r="C94" s="110" t="s">
        <v>10</v>
      </c>
      <c r="D94" s="111" t="s">
        <v>153</v>
      </c>
      <c r="E94" s="57" t="s">
        <v>154</v>
      </c>
      <c r="F94" s="98">
        <v>1.87E7</v>
      </c>
      <c r="G94" s="57" t="s">
        <v>155</v>
      </c>
      <c r="H94" s="2"/>
      <c r="I94" s="2"/>
      <c r="J94" s="2"/>
      <c r="K94" s="2"/>
      <c r="L94" s="2"/>
      <c r="M94" s="2"/>
      <c r="N94" s="2"/>
      <c r="O94" s="2"/>
    </row>
    <row r="95">
      <c r="A95" s="77">
        <v>2.0</v>
      </c>
      <c r="B95" s="109" t="s">
        <v>156</v>
      </c>
      <c r="C95" s="110" t="s">
        <v>10</v>
      </c>
      <c r="D95" s="112" t="s">
        <v>157</v>
      </c>
      <c r="E95" s="57" t="s">
        <v>154</v>
      </c>
      <c r="F95" s="98">
        <v>1.87E7</v>
      </c>
      <c r="G95" s="57" t="s">
        <v>158</v>
      </c>
      <c r="H95" s="2"/>
      <c r="I95" s="2"/>
      <c r="J95" s="2"/>
      <c r="K95" s="2"/>
      <c r="L95" s="2"/>
      <c r="M95" s="2"/>
      <c r="N95" s="2"/>
      <c r="O95" s="2"/>
    </row>
    <row r="96">
      <c r="A96" s="57">
        <v>3.0</v>
      </c>
      <c r="B96" s="109" t="s">
        <v>159</v>
      </c>
      <c r="C96" s="110" t="s">
        <v>10</v>
      </c>
      <c r="D96" s="62" t="s">
        <v>160</v>
      </c>
      <c r="E96" s="57" t="s">
        <v>154</v>
      </c>
      <c r="F96" s="98">
        <v>1.87E7</v>
      </c>
      <c r="G96" s="57" t="s">
        <v>158</v>
      </c>
      <c r="H96" s="2"/>
      <c r="I96" s="2"/>
      <c r="J96" s="2"/>
      <c r="K96" s="2"/>
      <c r="L96" s="2"/>
      <c r="M96" s="2"/>
      <c r="N96" s="2"/>
      <c r="O96" s="2"/>
    </row>
    <row r="97">
      <c r="A97" s="57">
        <v>5.0</v>
      </c>
      <c r="B97" s="109" t="s">
        <v>163</v>
      </c>
      <c r="C97" s="110" t="s">
        <v>10</v>
      </c>
      <c r="D97" s="50" t="s">
        <v>162</v>
      </c>
      <c r="E97" s="57" t="s">
        <v>154</v>
      </c>
      <c r="F97" s="98">
        <v>1.87E7</v>
      </c>
      <c r="G97" s="57" t="s">
        <v>158</v>
      </c>
      <c r="H97" s="2"/>
      <c r="I97" s="2"/>
      <c r="J97" s="2"/>
      <c r="K97" s="2"/>
      <c r="L97" s="2"/>
      <c r="M97" s="2"/>
      <c r="N97" s="2"/>
      <c r="O97" s="2"/>
    </row>
    <row r="98">
      <c r="A98" s="57">
        <v>6.0</v>
      </c>
      <c r="B98" s="109" t="s">
        <v>164</v>
      </c>
      <c r="C98" s="110" t="s">
        <v>10</v>
      </c>
      <c r="D98" s="62" t="s">
        <v>165</v>
      </c>
      <c r="E98" s="57" t="s">
        <v>154</v>
      </c>
      <c r="F98" s="98">
        <v>1.87E7</v>
      </c>
      <c r="G98" s="57" t="s">
        <v>158</v>
      </c>
      <c r="H98" s="2"/>
      <c r="I98" s="2"/>
      <c r="J98" s="2"/>
      <c r="K98" s="2"/>
      <c r="L98" s="2"/>
      <c r="M98" s="2"/>
      <c r="N98" s="2"/>
      <c r="O98" s="2"/>
    </row>
    <row r="99">
      <c r="A99" s="57">
        <v>7.0</v>
      </c>
      <c r="B99" s="109" t="s">
        <v>166</v>
      </c>
      <c r="C99" s="110" t="s">
        <v>10</v>
      </c>
      <c r="D99" s="50" t="s">
        <v>165</v>
      </c>
      <c r="E99" s="57" t="s">
        <v>154</v>
      </c>
      <c r="F99" s="98">
        <v>1.87E7</v>
      </c>
      <c r="G99" s="57" t="s">
        <v>167</v>
      </c>
      <c r="H99" s="2"/>
      <c r="I99" s="2"/>
      <c r="J99" s="2"/>
      <c r="K99" s="2"/>
      <c r="L99" s="2"/>
      <c r="M99" s="2"/>
      <c r="N99" s="2"/>
      <c r="O99" s="2"/>
    </row>
    <row r="100">
      <c r="A100" s="57">
        <v>8.0</v>
      </c>
      <c r="B100" s="109" t="s">
        <v>168</v>
      </c>
      <c r="C100" s="110" t="s">
        <v>10</v>
      </c>
      <c r="D100" s="50" t="s">
        <v>169</v>
      </c>
      <c r="E100" s="57" t="s">
        <v>154</v>
      </c>
      <c r="F100" s="98">
        <v>1.87E7</v>
      </c>
      <c r="G100" s="57" t="s">
        <v>158</v>
      </c>
      <c r="H100" s="2"/>
      <c r="I100" s="2"/>
      <c r="J100" s="2"/>
      <c r="K100" s="2"/>
      <c r="L100" s="2"/>
      <c r="M100" s="2"/>
      <c r="N100" s="2"/>
      <c r="O100" s="2"/>
    </row>
    <row r="101">
      <c r="A101" s="57">
        <v>9.0</v>
      </c>
      <c r="B101" s="109" t="s">
        <v>170</v>
      </c>
      <c r="C101" s="110" t="s">
        <v>10</v>
      </c>
      <c r="D101" s="50" t="s">
        <v>169</v>
      </c>
      <c r="E101" s="57" t="s">
        <v>154</v>
      </c>
      <c r="F101" s="98">
        <v>1.87E7</v>
      </c>
      <c r="G101" s="57" t="s">
        <v>158</v>
      </c>
      <c r="H101" s="2"/>
      <c r="I101" s="2"/>
      <c r="J101" s="2"/>
      <c r="K101" s="2"/>
      <c r="L101" s="2"/>
      <c r="M101" s="2"/>
      <c r="N101" s="2"/>
      <c r="O101" s="2"/>
    </row>
    <row r="102">
      <c r="A102" s="57">
        <v>10.0</v>
      </c>
      <c r="B102" s="102" t="s">
        <v>195</v>
      </c>
      <c r="C102" s="143" t="s">
        <v>10</v>
      </c>
      <c r="D102" s="50" t="s">
        <v>162</v>
      </c>
      <c r="E102" s="57" t="s">
        <v>154</v>
      </c>
      <c r="F102" s="98"/>
      <c r="G102" s="57" t="s">
        <v>222</v>
      </c>
      <c r="H102" s="2"/>
      <c r="I102" s="2"/>
      <c r="J102" s="2"/>
      <c r="K102" s="2"/>
      <c r="L102" s="2"/>
      <c r="M102" s="2"/>
      <c r="N102" s="2"/>
      <c r="O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>
      <c r="A105" s="45" t="s">
        <v>0</v>
      </c>
      <c r="B105" s="45" t="s">
        <v>1</v>
      </c>
      <c r="C105" s="46"/>
      <c r="D105" s="45" t="s">
        <v>3</v>
      </c>
      <c r="E105" s="108"/>
      <c r="F105" s="1" t="s">
        <v>5</v>
      </c>
      <c r="G105" s="47" t="s">
        <v>9</v>
      </c>
      <c r="H105" s="2"/>
      <c r="I105" s="2"/>
      <c r="J105" s="2"/>
      <c r="K105" s="2"/>
      <c r="L105" s="2"/>
      <c r="M105" s="2"/>
      <c r="N105" s="2"/>
      <c r="O105" s="2"/>
    </row>
    <row r="106">
      <c r="A106" s="57">
        <v>1.0</v>
      </c>
      <c r="B106" s="144" t="s">
        <v>100</v>
      </c>
      <c r="C106" s="70" t="s">
        <v>10</v>
      </c>
      <c r="D106" s="144" t="s">
        <v>196</v>
      </c>
      <c r="E106" s="57" t="s">
        <v>197</v>
      </c>
      <c r="F106" s="2"/>
      <c r="G106" s="145" t="s">
        <v>198</v>
      </c>
      <c r="H106" s="2"/>
      <c r="I106" s="2"/>
      <c r="J106" s="2"/>
      <c r="K106" s="2"/>
      <c r="L106" s="2"/>
      <c r="M106" s="2"/>
      <c r="N106" s="2"/>
      <c r="O106" s="2"/>
    </row>
    <row r="107">
      <c r="A107" s="57">
        <v>2.0</v>
      </c>
      <c r="B107" s="67" t="s">
        <v>199</v>
      </c>
      <c r="C107" s="70" t="s">
        <v>10</v>
      </c>
      <c r="D107" s="144" t="s">
        <v>200</v>
      </c>
      <c r="E107" s="57" t="s">
        <v>197</v>
      </c>
      <c r="F107" s="2"/>
      <c r="G107" s="145" t="s">
        <v>201</v>
      </c>
      <c r="H107" s="2"/>
      <c r="I107" s="2"/>
      <c r="J107" s="2"/>
      <c r="K107" s="2"/>
      <c r="L107" s="2"/>
      <c r="M107" s="2"/>
      <c r="N107" s="2"/>
      <c r="O107" s="2"/>
    </row>
    <row r="108">
      <c r="A108" s="57">
        <v>4.0</v>
      </c>
      <c r="B108" s="144" t="s">
        <v>208</v>
      </c>
      <c r="C108" s="70" t="s">
        <v>10</v>
      </c>
      <c r="D108" s="144" t="s">
        <v>209</v>
      </c>
      <c r="E108" s="57" t="s">
        <v>197</v>
      </c>
      <c r="F108" s="2"/>
      <c r="G108" s="145" t="s">
        <v>206</v>
      </c>
      <c r="H108" s="2"/>
      <c r="I108" s="2"/>
      <c r="J108" s="2"/>
      <c r="K108" s="2"/>
      <c r="L108" s="2"/>
      <c r="M108" s="2"/>
      <c r="N108" s="2"/>
      <c r="O108" s="2"/>
    </row>
    <row r="109">
      <c r="A109" s="57">
        <v>5.0</v>
      </c>
      <c r="B109" s="67" t="s">
        <v>210</v>
      </c>
      <c r="C109" s="70" t="s">
        <v>10</v>
      </c>
      <c r="D109" s="144" t="s">
        <v>209</v>
      </c>
      <c r="E109" s="57" t="s">
        <v>197</v>
      </c>
      <c r="F109" s="2"/>
      <c r="G109" s="145" t="s">
        <v>206</v>
      </c>
      <c r="H109" s="2"/>
      <c r="I109" s="2"/>
      <c r="J109" s="2"/>
      <c r="K109" s="2"/>
      <c r="L109" s="2"/>
      <c r="M109" s="2"/>
      <c r="N109" s="2"/>
      <c r="O109" s="2"/>
    </row>
    <row r="110">
      <c r="A110" s="57">
        <v>8.0</v>
      </c>
      <c r="B110" s="67" t="s">
        <v>213</v>
      </c>
      <c r="C110" s="70" t="s">
        <v>10</v>
      </c>
      <c r="D110" s="144" t="s">
        <v>209</v>
      </c>
      <c r="E110" s="57" t="s">
        <v>197</v>
      </c>
      <c r="F110" s="2"/>
      <c r="G110" s="158">
        <v>46204.0</v>
      </c>
      <c r="H110" s="2"/>
      <c r="I110" s="2"/>
      <c r="J110" s="2"/>
      <c r="K110" s="2"/>
      <c r="L110" s="2"/>
      <c r="M110" s="2"/>
      <c r="N110" s="2"/>
      <c r="O110" s="2"/>
    </row>
    <row r="111">
      <c r="A111" s="2"/>
      <c r="B111" s="2"/>
      <c r="C111" s="2"/>
      <c r="D111" s="2"/>
      <c r="E111" s="2"/>
      <c r="F111" s="2"/>
      <c r="H111" s="2"/>
      <c r="I111" s="2"/>
      <c r="J111" s="2"/>
      <c r="K111" s="2"/>
      <c r="L111" s="2"/>
      <c r="M111" s="2"/>
      <c r="N111" s="2"/>
      <c r="O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9.63"/>
    <col customWidth="1" min="2" max="2" width="34.25"/>
    <col customWidth="1" min="3" max="3" width="25.75"/>
    <col customWidth="1" hidden="1" min="4" max="4" width="33.25"/>
    <col customWidth="1" min="5" max="5" width="23.5"/>
    <col customWidth="1" min="6" max="6" width="21.5"/>
    <col customWidth="1" min="7" max="7" width="19.38"/>
    <col customWidth="1" min="8" max="8" width="19.0"/>
    <col customWidth="1" min="9" max="10" width="20.63"/>
    <col customWidth="1" min="11" max="11" width="16.5"/>
    <col customWidth="1" min="12" max="12" width="20.13"/>
    <col customWidth="1" min="13" max="13" width="10.38"/>
    <col customWidth="1" min="14" max="14" width="14.38"/>
    <col customWidth="1" min="15" max="15" width="18.13"/>
    <col customWidth="1" min="16" max="16" width="18.5"/>
    <col customWidth="1" min="17" max="17" width="20.88"/>
    <col customWidth="1" min="19" max="19" width="18.38"/>
    <col customWidth="1" min="20" max="20" width="22.0"/>
    <col customWidth="1" min="21" max="21" width="20.75"/>
    <col customWidth="1" min="22" max="22" width="18.88"/>
  </cols>
  <sheetData>
    <row r="1">
      <c r="A1" s="159" t="s">
        <v>2</v>
      </c>
      <c r="B1" s="159" t="s">
        <v>238</v>
      </c>
      <c r="C1" s="160" t="s">
        <v>239</v>
      </c>
      <c r="D1" s="161"/>
      <c r="E1" s="159" t="s">
        <v>240</v>
      </c>
      <c r="F1" s="160" t="s">
        <v>241</v>
      </c>
      <c r="G1" s="159" t="s">
        <v>242</v>
      </c>
      <c r="H1" s="159" t="s">
        <v>243</v>
      </c>
      <c r="I1" s="159" t="s">
        <v>244</v>
      </c>
      <c r="J1" s="159" t="s">
        <v>245</v>
      </c>
      <c r="K1" s="159" t="s">
        <v>9</v>
      </c>
      <c r="L1" s="159" t="s">
        <v>246</v>
      </c>
      <c r="M1" s="159" t="s">
        <v>247</v>
      </c>
      <c r="N1" s="159" t="s">
        <v>249</v>
      </c>
      <c r="O1" s="159" t="s">
        <v>250</v>
      </c>
      <c r="P1" s="159" t="s">
        <v>252</v>
      </c>
      <c r="Q1" s="159" t="s">
        <v>253</v>
      </c>
      <c r="R1" s="159" t="s">
        <v>254</v>
      </c>
      <c r="S1" s="159" t="s">
        <v>255</v>
      </c>
      <c r="T1" s="159" t="s">
        <v>256</v>
      </c>
      <c r="U1" s="159" t="s">
        <v>257</v>
      </c>
      <c r="V1" s="159" t="s">
        <v>259</v>
      </c>
    </row>
    <row r="2">
      <c r="A2" s="165" t="s">
        <v>15</v>
      </c>
      <c r="B2" s="166" t="s">
        <v>31</v>
      </c>
      <c r="C2" s="167" t="s">
        <v>13</v>
      </c>
      <c r="D2" s="168" t="s">
        <v>260</v>
      </c>
      <c r="E2" s="168" t="s">
        <v>261</v>
      </c>
      <c r="F2" s="168"/>
      <c r="G2" s="169">
        <v>46295.0</v>
      </c>
      <c r="H2" s="170">
        <v>8000000.0</v>
      </c>
      <c r="I2" s="171">
        <v>1000000.0</v>
      </c>
      <c r="J2" s="171"/>
      <c r="K2" s="171"/>
      <c r="L2" s="171">
        <f t="shared" ref="L2:L73" si="1">H2+I2+J2</f>
        <v>9000000</v>
      </c>
      <c r="M2" s="176">
        <v>1.5</v>
      </c>
      <c r="N2" s="171">
        <f t="shared" ref="N2:N50" si="2">L2*M2</f>
        <v>13500000</v>
      </c>
      <c r="O2" s="171">
        <v>2.2387E7</v>
      </c>
      <c r="P2" s="171">
        <f t="shared" ref="P2:P3" si="3">(O2/1.11)*98%</f>
        <v>19765099.1</v>
      </c>
      <c r="Q2" s="171">
        <f t="shared" ref="Q2:Q14" si="4">P2-N2</f>
        <v>6265099.099</v>
      </c>
      <c r="R2" s="186">
        <f t="shared" ref="R2:R14" si="5">Q2/N2</f>
        <v>0.4640814147</v>
      </c>
      <c r="S2" s="192" t="str">
        <f t="shared" ref="S2:S14" si="6">IFS(
  R2&lt;=-0, "Min",
  R2&lt;=0.1, "Low",
  R2&lt;=0.2, "Middle",
  R2&lt;=0.4, "High",
  R2&gt;0.4, "Very High"
)</f>
        <v>Very High</v>
      </c>
      <c r="T2" s="176"/>
      <c r="U2" s="176"/>
      <c r="V2" s="176"/>
    </row>
    <row r="3">
      <c r="A3" s="165" t="s">
        <v>15</v>
      </c>
      <c r="B3" s="196" t="s">
        <v>293</v>
      </c>
      <c r="C3" s="167" t="s">
        <v>13</v>
      </c>
      <c r="D3" s="165" t="s">
        <v>264</v>
      </c>
      <c r="E3" s="168" t="s">
        <v>261</v>
      </c>
      <c r="F3" s="168"/>
      <c r="G3" s="169">
        <v>46295.0</v>
      </c>
      <c r="H3" s="198">
        <v>8926054.0</v>
      </c>
      <c r="I3" s="171">
        <v>1000000.0</v>
      </c>
      <c r="J3" s="200">
        <v>500000.0</v>
      </c>
      <c r="K3" s="200" t="s">
        <v>301</v>
      </c>
      <c r="L3" s="171">
        <f t="shared" si="1"/>
        <v>10426054</v>
      </c>
      <c r="M3" s="176">
        <v>1.5</v>
      </c>
      <c r="N3" s="171">
        <f t="shared" si="2"/>
        <v>15639081</v>
      </c>
      <c r="O3" s="171">
        <v>2.2387E7</v>
      </c>
      <c r="P3" s="171">
        <f t="shared" si="3"/>
        <v>19765099.1</v>
      </c>
      <c r="Q3" s="171">
        <f t="shared" si="4"/>
        <v>4126018.099</v>
      </c>
      <c r="R3" s="186">
        <f t="shared" si="5"/>
        <v>0.2638274013</v>
      </c>
      <c r="S3" s="192" t="str">
        <f t="shared" si="6"/>
        <v>High</v>
      </c>
      <c r="T3" s="176"/>
      <c r="U3" s="176"/>
      <c r="V3" s="176"/>
    </row>
    <row r="4">
      <c r="A4" s="168" t="s">
        <v>15</v>
      </c>
      <c r="B4" s="201" t="s">
        <v>119</v>
      </c>
      <c r="C4" s="167" t="s">
        <v>219</v>
      </c>
      <c r="D4" s="168" t="s">
        <v>310</v>
      </c>
      <c r="E4" s="202" t="s">
        <v>288</v>
      </c>
      <c r="F4" s="202"/>
      <c r="G4" s="169">
        <v>46344.0</v>
      </c>
      <c r="H4" s="204">
        <v>6789705.0</v>
      </c>
      <c r="I4" s="204">
        <v>1000000.0</v>
      </c>
      <c r="J4" s="200"/>
      <c r="K4" s="171" t="s">
        <v>314</v>
      </c>
      <c r="L4" s="171">
        <f t="shared" si="1"/>
        <v>7789705</v>
      </c>
      <c r="M4" s="176">
        <v>1.4</v>
      </c>
      <c r="N4" s="171">
        <f t="shared" si="2"/>
        <v>10905587</v>
      </c>
      <c r="O4" s="171">
        <v>2.2E7</v>
      </c>
      <c r="P4" s="171">
        <v>2.2E7</v>
      </c>
      <c r="Q4" s="171">
        <f t="shared" si="4"/>
        <v>11094413</v>
      </c>
      <c r="R4" s="186">
        <f t="shared" si="5"/>
        <v>1.017314611</v>
      </c>
      <c r="S4" s="192" t="str">
        <f t="shared" si="6"/>
        <v>Very High</v>
      </c>
      <c r="T4" s="171"/>
      <c r="U4" s="176"/>
      <c r="V4" s="176"/>
    </row>
    <row r="5">
      <c r="A5" s="165" t="s">
        <v>15</v>
      </c>
      <c r="B5" s="208" t="s">
        <v>284</v>
      </c>
      <c r="C5" s="167" t="s">
        <v>219</v>
      </c>
      <c r="D5" s="168" t="s">
        <v>310</v>
      </c>
      <c r="E5" s="168" t="s">
        <v>322</v>
      </c>
      <c r="F5" s="168"/>
      <c r="G5" s="169">
        <v>46424.0</v>
      </c>
      <c r="H5" s="170">
        <v>8300000.0</v>
      </c>
      <c r="I5" s="171">
        <v>1000000.0</v>
      </c>
      <c r="J5" s="171">
        <v>500000.0</v>
      </c>
      <c r="K5" s="200"/>
      <c r="L5" s="171">
        <f t="shared" si="1"/>
        <v>9800000</v>
      </c>
      <c r="M5" s="176">
        <v>1.4</v>
      </c>
      <c r="N5" s="171">
        <f t="shared" si="2"/>
        <v>13720000</v>
      </c>
      <c r="O5" s="171">
        <v>2.2E7</v>
      </c>
      <c r="P5" s="171">
        <v>2.2E7</v>
      </c>
      <c r="Q5" s="171">
        <f t="shared" si="4"/>
        <v>8280000</v>
      </c>
      <c r="R5" s="186">
        <f t="shared" si="5"/>
        <v>0.6034985423</v>
      </c>
      <c r="S5" s="192" t="str">
        <f t="shared" si="6"/>
        <v>Very High</v>
      </c>
      <c r="T5" s="176"/>
      <c r="U5" s="176"/>
      <c r="V5" s="176"/>
    </row>
    <row r="6">
      <c r="A6" s="165" t="s">
        <v>15</v>
      </c>
      <c r="B6" s="208" t="s">
        <v>76</v>
      </c>
      <c r="C6" s="167" t="s">
        <v>323</v>
      </c>
      <c r="D6" s="165" t="s">
        <v>273</v>
      </c>
      <c r="E6" s="168" t="s">
        <v>261</v>
      </c>
      <c r="F6" s="168"/>
      <c r="G6" s="212">
        <v>46323.0</v>
      </c>
      <c r="H6" s="213">
        <v>7331379.0</v>
      </c>
      <c r="I6" s="171">
        <v>1000000.0</v>
      </c>
      <c r="J6" s="200">
        <v>500000.0</v>
      </c>
      <c r="K6" s="200" t="s">
        <v>324</v>
      </c>
      <c r="L6" s="171">
        <f t="shared" si="1"/>
        <v>8831379</v>
      </c>
      <c r="M6" s="214">
        <v>1.4</v>
      </c>
      <c r="N6" s="171">
        <f t="shared" si="2"/>
        <v>12363930.6</v>
      </c>
      <c r="O6" s="171">
        <v>2.2E7</v>
      </c>
      <c r="P6" s="171">
        <v>1.98E7</v>
      </c>
      <c r="Q6" s="171">
        <f t="shared" si="4"/>
        <v>7436069.4</v>
      </c>
      <c r="R6" s="186">
        <f t="shared" si="5"/>
        <v>0.6014324765</v>
      </c>
      <c r="S6" s="192" t="str">
        <f t="shared" si="6"/>
        <v>Very High</v>
      </c>
      <c r="T6" s="176"/>
      <c r="U6" s="176"/>
      <c r="V6" s="176"/>
    </row>
    <row r="7">
      <c r="A7" s="165" t="s">
        <v>15</v>
      </c>
      <c r="B7" s="216" t="s">
        <v>75</v>
      </c>
      <c r="C7" s="167" t="s">
        <v>323</v>
      </c>
      <c r="D7" s="165" t="s">
        <v>273</v>
      </c>
      <c r="E7" s="168" t="s">
        <v>261</v>
      </c>
      <c r="F7" s="168"/>
      <c r="G7" s="169">
        <v>46583.0</v>
      </c>
      <c r="H7" s="200">
        <v>8400992.0</v>
      </c>
      <c r="I7" s="171">
        <v>1000000.0</v>
      </c>
      <c r="J7" s="200">
        <v>1000000.0</v>
      </c>
      <c r="K7" s="171" t="s">
        <v>333</v>
      </c>
      <c r="L7" s="171">
        <f t="shared" si="1"/>
        <v>10400992</v>
      </c>
      <c r="M7" s="214">
        <v>1.3</v>
      </c>
      <c r="N7" s="171">
        <f t="shared" si="2"/>
        <v>13521289.6</v>
      </c>
      <c r="O7" s="171">
        <v>2.0E7</v>
      </c>
      <c r="P7" s="171">
        <v>1.98E7</v>
      </c>
      <c r="Q7" s="171">
        <f t="shared" si="4"/>
        <v>6278710.4</v>
      </c>
      <c r="R7" s="186">
        <f t="shared" si="5"/>
        <v>0.4643573643</v>
      </c>
      <c r="S7" s="192" t="str">
        <f t="shared" si="6"/>
        <v>Very High</v>
      </c>
      <c r="T7" s="218"/>
      <c r="U7" s="176"/>
      <c r="V7" s="176"/>
    </row>
    <row r="8">
      <c r="A8" s="165" t="s">
        <v>15</v>
      </c>
      <c r="B8" s="208" t="s">
        <v>290</v>
      </c>
      <c r="C8" s="167" t="s">
        <v>336</v>
      </c>
      <c r="D8" s="168" t="s">
        <v>322</v>
      </c>
      <c r="E8" s="165" t="s">
        <v>291</v>
      </c>
      <c r="F8" s="165"/>
      <c r="G8" s="219" t="s">
        <v>292</v>
      </c>
      <c r="H8" s="171">
        <v>1.0E7</v>
      </c>
      <c r="I8" s="171">
        <v>1000000.0</v>
      </c>
      <c r="J8" s="171"/>
      <c r="K8" s="171" t="s">
        <v>340</v>
      </c>
      <c r="L8" s="171">
        <f t="shared" si="1"/>
        <v>11000000</v>
      </c>
      <c r="M8" s="176">
        <v>1.4</v>
      </c>
      <c r="N8" s="171">
        <f t="shared" si="2"/>
        <v>15400000</v>
      </c>
      <c r="O8" s="171">
        <v>2.2E7</v>
      </c>
      <c r="P8" s="171">
        <v>2.2E7</v>
      </c>
      <c r="Q8" s="171">
        <f t="shared" si="4"/>
        <v>6600000</v>
      </c>
      <c r="R8" s="186">
        <f t="shared" si="5"/>
        <v>0.4285714286</v>
      </c>
      <c r="S8" s="192" t="str">
        <f t="shared" si="6"/>
        <v>Very High</v>
      </c>
      <c r="T8" s="176"/>
      <c r="U8" s="176"/>
      <c r="V8" s="176"/>
    </row>
    <row r="9">
      <c r="A9" s="168" t="s">
        <v>15</v>
      </c>
      <c r="B9" s="216" t="s">
        <v>341</v>
      </c>
      <c r="C9" s="167" t="s">
        <v>342</v>
      </c>
      <c r="D9" s="165" t="s">
        <v>280</v>
      </c>
      <c r="E9" s="168" t="s">
        <v>343</v>
      </c>
      <c r="F9" s="168"/>
      <c r="G9" s="222" t="s">
        <v>344</v>
      </c>
      <c r="H9" s="204">
        <v>6800000.0</v>
      </c>
      <c r="I9" s="171">
        <v>1000000.0</v>
      </c>
      <c r="J9" s="200">
        <v>500000.0</v>
      </c>
      <c r="K9" s="171"/>
      <c r="L9" s="171">
        <f t="shared" si="1"/>
        <v>8300000</v>
      </c>
      <c r="M9" s="176">
        <v>1.5</v>
      </c>
      <c r="N9" s="171">
        <f t="shared" si="2"/>
        <v>12450000</v>
      </c>
      <c r="O9" s="171">
        <v>2.0E7</v>
      </c>
      <c r="P9" s="171">
        <v>1.98E7</v>
      </c>
      <c r="Q9" s="171">
        <f t="shared" si="4"/>
        <v>7350000</v>
      </c>
      <c r="R9" s="186">
        <f t="shared" si="5"/>
        <v>0.5903614458</v>
      </c>
      <c r="S9" s="192" t="str">
        <f t="shared" si="6"/>
        <v>Very High</v>
      </c>
      <c r="T9" s="176"/>
      <c r="U9" s="176"/>
      <c r="V9" s="176"/>
    </row>
    <row r="10">
      <c r="A10" s="168" t="s">
        <v>15</v>
      </c>
      <c r="B10" s="167" t="s">
        <v>78</v>
      </c>
      <c r="C10" s="167" t="s">
        <v>342</v>
      </c>
      <c r="D10" s="165" t="s">
        <v>280</v>
      </c>
      <c r="E10" s="168" t="s">
        <v>343</v>
      </c>
      <c r="F10" s="168"/>
      <c r="G10" s="169">
        <v>46428.0</v>
      </c>
      <c r="H10" s="204">
        <v>8200000.0</v>
      </c>
      <c r="I10" s="171">
        <v>1000000.0</v>
      </c>
      <c r="J10" s="200">
        <v>1000000.0</v>
      </c>
      <c r="K10" s="171"/>
      <c r="L10" s="171">
        <f t="shared" si="1"/>
        <v>10200000</v>
      </c>
      <c r="M10" s="214">
        <v>1.4</v>
      </c>
      <c r="N10" s="171">
        <f t="shared" si="2"/>
        <v>14280000</v>
      </c>
      <c r="O10" s="171">
        <v>2.0E7</v>
      </c>
      <c r="P10" s="171">
        <v>1.98E7</v>
      </c>
      <c r="Q10" s="171">
        <f t="shared" si="4"/>
        <v>5520000</v>
      </c>
      <c r="R10" s="186">
        <f t="shared" si="5"/>
        <v>0.3865546218</v>
      </c>
      <c r="S10" s="192" t="str">
        <f t="shared" si="6"/>
        <v>High</v>
      </c>
      <c r="T10" s="176"/>
      <c r="U10" s="176"/>
      <c r="V10" s="176"/>
    </row>
    <row r="11">
      <c r="A11" s="165" t="s">
        <v>15</v>
      </c>
      <c r="B11" s="208" t="s">
        <v>276</v>
      </c>
      <c r="C11" s="167" t="s">
        <v>350</v>
      </c>
      <c r="D11" s="165" t="s">
        <v>351</v>
      </c>
      <c r="E11" s="168" t="s">
        <v>343</v>
      </c>
      <c r="F11" s="168"/>
      <c r="G11" s="212">
        <v>46322.0</v>
      </c>
      <c r="H11" s="230">
        <v>6789705.0</v>
      </c>
      <c r="I11" s="170">
        <v>1000000.0</v>
      </c>
      <c r="J11" s="170">
        <v>500000.0</v>
      </c>
      <c r="K11" s="170"/>
      <c r="L11" s="171">
        <f t="shared" si="1"/>
        <v>8289705</v>
      </c>
      <c r="M11" s="176">
        <v>1.5</v>
      </c>
      <c r="N11" s="171">
        <f t="shared" si="2"/>
        <v>12434557.5</v>
      </c>
      <c r="O11" s="171">
        <v>2.14E7</v>
      </c>
      <c r="P11" s="171">
        <v>1.98E7</v>
      </c>
      <c r="Q11" s="171">
        <f t="shared" si="4"/>
        <v>7365442.5</v>
      </c>
      <c r="R11" s="186">
        <f t="shared" si="5"/>
        <v>0.5923365186</v>
      </c>
      <c r="S11" s="192" t="str">
        <f t="shared" si="6"/>
        <v>Very High</v>
      </c>
      <c r="T11" s="176"/>
      <c r="U11" s="176"/>
      <c r="V11" s="176"/>
    </row>
    <row r="12">
      <c r="A12" s="168" t="s">
        <v>15</v>
      </c>
      <c r="B12" s="167" t="s">
        <v>355</v>
      </c>
      <c r="C12" s="167" t="s">
        <v>350</v>
      </c>
      <c r="D12" s="168" t="s">
        <v>356</v>
      </c>
      <c r="E12" s="168" t="s">
        <v>343</v>
      </c>
      <c r="F12" s="168"/>
      <c r="G12" s="232">
        <v>46555.0</v>
      </c>
      <c r="H12" s="204">
        <v>6250884.0</v>
      </c>
      <c r="I12" s="170">
        <v>1000000.0</v>
      </c>
      <c r="J12" s="204">
        <v>300000.0</v>
      </c>
      <c r="K12" s="170"/>
      <c r="L12" s="171">
        <f t="shared" si="1"/>
        <v>7550884</v>
      </c>
      <c r="M12" s="214">
        <v>1.4</v>
      </c>
      <c r="N12" s="171">
        <f t="shared" si="2"/>
        <v>10571237.6</v>
      </c>
      <c r="O12" s="213">
        <v>2.14E7</v>
      </c>
      <c r="P12" s="171">
        <v>1.98E7</v>
      </c>
      <c r="Q12" s="171">
        <f t="shared" si="4"/>
        <v>9228762.4</v>
      </c>
      <c r="R12" s="186">
        <f t="shared" si="5"/>
        <v>0.8730068086</v>
      </c>
      <c r="S12" s="192" t="str">
        <f t="shared" si="6"/>
        <v>Very High</v>
      </c>
      <c r="T12" s="176"/>
      <c r="U12" s="176"/>
      <c r="V12" s="176"/>
    </row>
    <row r="13">
      <c r="A13" s="165" t="s">
        <v>15</v>
      </c>
      <c r="B13" s="167" t="s">
        <v>357</v>
      </c>
      <c r="C13" s="234" t="s">
        <v>358</v>
      </c>
      <c r="D13" s="168" t="s">
        <v>117</v>
      </c>
      <c r="E13" s="165" t="s">
        <v>90</v>
      </c>
      <c r="F13" s="165"/>
      <c r="G13" s="232">
        <v>46451.0</v>
      </c>
      <c r="H13" s="170">
        <v>7106040.0</v>
      </c>
      <c r="I13" s="171">
        <v>1000000.0</v>
      </c>
      <c r="J13" s="200">
        <v>1000000.0</v>
      </c>
      <c r="K13" s="171"/>
      <c r="L13" s="171">
        <f t="shared" si="1"/>
        <v>9106040</v>
      </c>
      <c r="M13" s="176">
        <v>1.4</v>
      </c>
      <c r="N13" s="171">
        <f t="shared" si="2"/>
        <v>12748456</v>
      </c>
      <c r="O13" s="171">
        <v>2.26E7</v>
      </c>
      <c r="P13" s="171">
        <v>1.77478E7</v>
      </c>
      <c r="Q13" s="171">
        <f t="shared" si="4"/>
        <v>4999344</v>
      </c>
      <c r="R13" s="186">
        <f t="shared" si="5"/>
        <v>0.3921529007</v>
      </c>
      <c r="S13" s="235" t="str">
        <f t="shared" si="6"/>
        <v>High</v>
      </c>
      <c r="T13" s="176"/>
      <c r="U13" s="176"/>
      <c r="V13" s="176"/>
    </row>
    <row r="14">
      <c r="A14" s="168" t="s">
        <v>15</v>
      </c>
      <c r="B14" s="237" t="s">
        <v>359</v>
      </c>
      <c r="C14" s="234" t="s">
        <v>358</v>
      </c>
      <c r="D14" s="238" t="s">
        <v>360</v>
      </c>
      <c r="E14" s="238" t="s">
        <v>361</v>
      </c>
      <c r="F14" s="238"/>
      <c r="G14" s="239">
        <v>46412.0</v>
      </c>
      <c r="H14" s="213">
        <v>1.075E7</v>
      </c>
      <c r="I14" s="213">
        <v>1000000.0</v>
      </c>
      <c r="J14" s="213">
        <v>4000000.0</v>
      </c>
      <c r="K14" s="213"/>
      <c r="L14" s="171">
        <f t="shared" si="1"/>
        <v>15750000</v>
      </c>
      <c r="M14" s="241">
        <v>1.4</v>
      </c>
      <c r="N14" s="213">
        <f t="shared" si="2"/>
        <v>22050000</v>
      </c>
      <c r="O14" s="171" t="s">
        <v>362</v>
      </c>
      <c r="P14" s="213">
        <v>3.2E7</v>
      </c>
      <c r="Q14" s="213">
        <f t="shared" si="4"/>
        <v>9950000</v>
      </c>
      <c r="R14" s="244">
        <f t="shared" si="5"/>
        <v>0.4512471655</v>
      </c>
      <c r="S14" s="246" t="str">
        <f t="shared" si="6"/>
        <v>Very High</v>
      </c>
      <c r="T14" s="176"/>
      <c r="U14" s="176"/>
      <c r="V14" s="176"/>
    </row>
    <row r="15">
      <c r="A15" s="214" t="s">
        <v>15</v>
      </c>
      <c r="B15" s="208" t="s">
        <v>363</v>
      </c>
      <c r="C15" s="234" t="s">
        <v>358</v>
      </c>
      <c r="D15" s="168" t="s">
        <v>299</v>
      </c>
      <c r="E15" s="165" t="s">
        <v>104</v>
      </c>
      <c r="F15" s="165"/>
      <c r="G15" s="249"/>
      <c r="H15" s="176"/>
      <c r="I15" s="176"/>
      <c r="J15" s="176"/>
      <c r="K15" s="176"/>
      <c r="L15" s="171">
        <f t="shared" si="1"/>
        <v>0</v>
      </c>
      <c r="M15" s="176"/>
      <c r="N15" s="213">
        <f t="shared" si="2"/>
        <v>0</v>
      </c>
      <c r="O15" s="176"/>
      <c r="P15" s="176"/>
      <c r="Q15" s="176"/>
      <c r="R15" s="176"/>
      <c r="S15" s="176"/>
      <c r="T15" s="176"/>
      <c r="U15" s="176"/>
      <c r="V15" s="176"/>
    </row>
    <row r="16">
      <c r="A16" s="168" t="s">
        <v>15</v>
      </c>
      <c r="B16" s="237" t="s">
        <v>364</v>
      </c>
      <c r="C16" s="234" t="s">
        <v>358</v>
      </c>
      <c r="D16" s="238" t="s">
        <v>117</v>
      </c>
      <c r="E16" s="238" t="s">
        <v>117</v>
      </c>
      <c r="F16" s="238"/>
      <c r="G16" s="254">
        <v>46331.0</v>
      </c>
      <c r="H16" s="213">
        <v>1.075E7</v>
      </c>
      <c r="I16" s="213">
        <v>1000000.0</v>
      </c>
      <c r="J16" s="213">
        <v>4000000.0</v>
      </c>
      <c r="K16" s="213"/>
      <c r="L16" s="171">
        <f t="shared" si="1"/>
        <v>15750000</v>
      </c>
      <c r="M16" s="241">
        <v>1.4</v>
      </c>
      <c r="N16" s="213">
        <f t="shared" si="2"/>
        <v>22050000</v>
      </c>
      <c r="O16" s="171" t="s">
        <v>362</v>
      </c>
      <c r="P16" s="213">
        <v>3.2E7</v>
      </c>
      <c r="Q16" s="213">
        <f t="shared" ref="Q16:Q50" si="7">P16-N16</f>
        <v>9950000</v>
      </c>
      <c r="R16" s="244">
        <f t="shared" ref="R16:R50" si="8">Q16/N16</f>
        <v>0.4512471655</v>
      </c>
      <c r="S16" s="246" t="str">
        <f t="shared" ref="S16:S50" si="9">IFS(
  R16&lt;=-0, "Min",
  R16&lt;=0.1, "Low",
  R16&lt;=0.2, "Middle",
  R16&lt;=0.4, "High",
  R16&gt;0.4, "Very High"
)</f>
        <v>Very High</v>
      </c>
      <c r="T16" s="176"/>
      <c r="U16" s="176"/>
      <c r="V16" s="176"/>
    </row>
    <row r="17">
      <c r="A17" s="168" t="s">
        <v>15</v>
      </c>
      <c r="B17" s="237" t="s">
        <v>367</v>
      </c>
      <c r="C17" s="234" t="s">
        <v>358</v>
      </c>
      <c r="D17" s="238" t="s">
        <v>117</v>
      </c>
      <c r="E17" s="238" t="s">
        <v>117</v>
      </c>
      <c r="F17" s="238"/>
      <c r="G17" s="260">
        <v>46407.0</v>
      </c>
      <c r="H17" s="213">
        <v>1.075E7</v>
      </c>
      <c r="I17" s="213">
        <v>1000000.0</v>
      </c>
      <c r="J17" s="213">
        <v>4000000.0</v>
      </c>
      <c r="K17" s="213"/>
      <c r="L17" s="171">
        <f t="shared" si="1"/>
        <v>15750000</v>
      </c>
      <c r="M17" s="241">
        <v>1.4</v>
      </c>
      <c r="N17" s="213">
        <f t="shared" si="2"/>
        <v>22050000</v>
      </c>
      <c r="O17" s="171" t="s">
        <v>362</v>
      </c>
      <c r="P17" s="213">
        <v>3.2E7</v>
      </c>
      <c r="Q17" s="213">
        <f t="shared" si="7"/>
        <v>9950000</v>
      </c>
      <c r="R17" s="244">
        <f t="shared" si="8"/>
        <v>0.4512471655</v>
      </c>
      <c r="S17" s="246" t="str">
        <f t="shared" si="9"/>
        <v>Very High</v>
      </c>
      <c r="T17" s="176"/>
      <c r="U17" s="176"/>
      <c r="V17" s="176"/>
    </row>
    <row r="18">
      <c r="A18" s="168" t="s">
        <v>15</v>
      </c>
      <c r="B18" s="237" t="s">
        <v>368</v>
      </c>
      <c r="C18" s="234" t="s">
        <v>358</v>
      </c>
      <c r="D18" s="238" t="s">
        <v>117</v>
      </c>
      <c r="E18" s="238" t="s">
        <v>117</v>
      </c>
      <c r="F18" s="238"/>
      <c r="G18" s="260">
        <v>46332.0</v>
      </c>
      <c r="H18" s="213">
        <v>1.075E7</v>
      </c>
      <c r="I18" s="213">
        <v>1000000.0</v>
      </c>
      <c r="J18" s="213">
        <v>4000000.0</v>
      </c>
      <c r="K18" s="213"/>
      <c r="L18" s="171">
        <f t="shared" si="1"/>
        <v>15750000</v>
      </c>
      <c r="M18" s="241">
        <v>1.4</v>
      </c>
      <c r="N18" s="213">
        <f t="shared" si="2"/>
        <v>22050000</v>
      </c>
      <c r="O18" s="171" t="s">
        <v>362</v>
      </c>
      <c r="P18" s="213">
        <v>3.2E7</v>
      </c>
      <c r="Q18" s="213">
        <f t="shared" si="7"/>
        <v>9950000</v>
      </c>
      <c r="R18" s="244">
        <f t="shared" si="8"/>
        <v>0.4512471655</v>
      </c>
      <c r="S18" s="246" t="str">
        <f t="shared" si="9"/>
        <v>Very High</v>
      </c>
      <c r="T18" s="176"/>
      <c r="U18" s="176"/>
      <c r="V18" s="176"/>
    </row>
    <row r="19">
      <c r="A19" s="168" t="s">
        <v>15</v>
      </c>
      <c r="B19" s="237" t="s">
        <v>371</v>
      </c>
      <c r="C19" s="234" t="s">
        <v>358</v>
      </c>
      <c r="D19" s="238" t="s">
        <v>117</v>
      </c>
      <c r="E19" s="238" t="s">
        <v>117</v>
      </c>
      <c r="F19" s="238"/>
      <c r="G19" s="239">
        <v>46332.0</v>
      </c>
      <c r="H19" s="213">
        <v>1.075E7</v>
      </c>
      <c r="I19" s="213">
        <v>1000000.0</v>
      </c>
      <c r="J19" s="213">
        <v>4000000.0</v>
      </c>
      <c r="K19" s="213"/>
      <c r="L19" s="171">
        <f t="shared" si="1"/>
        <v>15750000</v>
      </c>
      <c r="M19" s="241">
        <v>1.4</v>
      </c>
      <c r="N19" s="213">
        <f t="shared" si="2"/>
        <v>22050000</v>
      </c>
      <c r="O19" s="171" t="s">
        <v>362</v>
      </c>
      <c r="P19" s="213">
        <v>3.2E7</v>
      </c>
      <c r="Q19" s="213">
        <f t="shared" si="7"/>
        <v>9950000</v>
      </c>
      <c r="R19" s="244">
        <f t="shared" si="8"/>
        <v>0.4512471655</v>
      </c>
      <c r="S19" s="246" t="str">
        <f t="shared" si="9"/>
        <v>Very High</v>
      </c>
      <c r="T19" s="176"/>
      <c r="U19" s="176"/>
      <c r="V19" s="176"/>
    </row>
    <row r="20">
      <c r="A20" s="168" t="s">
        <v>15</v>
      </c>
      <c r="B20" s="234" t="s">
        <v>156</v>
      </c>
      <c r="C20" s="234" t="s">
        <v>372</v>
      </c>
      <c r="D20" s="241" t="s">
        <v>157</v>
      </c>
      <c r="E20" s="241" t="s">
        <v>157</v>
      </c>
      <c r="F20" s="241"/>
      <c r="G20" s="266">
        <v>46301.0</v>
      </c>
      <c r="H20" s="213">
        <v>1.075E7</v>
      </c>
      <c r="I20" s="213">
        <v>1000000.0</v>
      </c>
      <c r="J20" s="213">
        <v>500000.0</v>
      </c>
      <c r="K20" s="213"/>
      <c r="L20" s="171">
        <f t="shared" si="1"/>
        <v>12250000</v>
      </c>
      <c r="M20" s="241">
        <v>1.4</v>
      </c>
      <c r="N20" s="213">
        <f t="shared" si="2"/>
        <v>17150000</v>
      </c>
      <c r="O20" s="171" t="s">
        <v>362</v>
      </c>
      <c r="P20" s="213">
        <v>3.05E7</v>
      </c>
      <c r="Q20" s="213">
        <f t="shared" si="7"/>
        <v>13350000</v>
      </c>
      <c r="R20" s="244">
        <f t="shared" si="8"/>
        <v>0.778425656</v>
      </c>
      <c r="S20" s="246" t="str">
        <f t="shared" si="9"/>
        <v>Very High</v>
      </c>
      <c r="T20" s="176"/>
      <c r="U20" s="176"/>
      <c r="V20" s="176"/>
    </row>
    <row r="21">
      <c r="A21" s="168" t="s">
        <v>15</v>
      </c>
      <c r="B21" s="234" t="s">
        <v>347</v>
      </c>
      <c r="C21" s="234" t="s">
        <v>372</v>
      </c>
      <c r="D21" s="241" t="s">
        <v>160</v>
      </c>
      <c r="E21" s="241" t="s">
        <v>160</v>
      </c>
      <c r="F21" s="241"/>
      <c r="G21" s="266">
        <v>46301.0</v>
      </c>
      <c r="H21" s="213">
        <v>1.075E7</v>
      </c>
      <c r="I21" s="213">
        <v>1000000.0</v>
      </c>
      <c r="J21" s="213">
        <v>1000000.0</v>
      </c>
      <c r="K21" s="213"/>
      <c r="L21" s="171">
        <f t="shared" si="1"/>
        <v>12750000</v>
      </c>
      <c r="M21" s="241">
        <v>1.4</v>
      </c>
      <c r="N21" s="213">
        <f t="shared" si="2"/>
        <v>17850000</v>
      </c>
      <c r="O21" s="171" t="s">
        <v>362</v>
      </c>
      <c r="P21" s="213">
        <v>3.05E7</v>
      </c>
      <c r="Q21" s="213">
        <f t="shared" si="7"/>
        <v>12650000</v>
      </c>
      <c r="R21" s="244">
        <f t="shared" si="8"/>
        <v>0.7086834734</v>
      </c>
      <c r="S21" s="246" t="str">
        <f t="shared" si="9"/>
        <v>Very High</v>
      </c>
      <c r="T21" s="176"/>
      <c r="U21" s="176"/>
      <c r="V21" s="176"/>
    </row>
    <row r="22">
      <c r="A22" s="168" t="s">
        <v>15</v>
      </c>
      <c r="B22" s="269" t="s">
        <v>373</v>
      </c>
      <c r="C22" s="234" t="s">
        <v>372</v>
      </c>
      <c r="D22" s="241" t="s">
        <v>162</v>
      </c>
      <c r="E22" s="241" t="s">
        <v>162</v>
      </c>
      <c r="F22" s="241"/>
      <c r="G22" s="266">
        <v>46301.0</v>
      </c>
      <c r="H22" s="213">
        <v>9500000.0</v>
      </c>
      <c r="I22" s="213">
        <v>1000000.0</v>
      </c>
      <c r="J22" s="213">
        <v>0.0</v>
      </c>
      <c r="K22" s="213"/>
      <c r="L22" s="171">
        <f t="shared" si="1"/>
        <v>10500000</v>
      </c>
      <c r="M22" s="241">
        <v>1.4</v>
      </c>
      <c r="N22" s="213">
        <f t="shared" si="2"/>
        <v>14700000</v>
      </c>
      <c r="O22" s="171" t="s">
        <v>362</v>
      </c>
      <c r="P22" s="213">
        <v>2.95E7</v>
      </c>
      <c r="Q22" s="213">
        <f t="shared" si="7"/>
        <v>14800000</v>
      </c>
      <c r="R22" s="244">
        <f t="shared" si="8"/>
        <v>1.006802721</v>
      </c>
      <c r="S22" s="246" t="str">
        <f t="shared" si="9"/>
        <v>Very High</v>
      </c>
      <c r="T22" s="176"/>
      <c r="U22" s="176"/>
      <c r="V22" s="176"/>
    </row>
    <row r="23">
      <c r="A23" s="168" t="s">
        <v>15</v>
      </c>
      <c r="B23" s="234" t="s">
        <v>163</v>
      </c>
      <c r="C23" s="234" t="s">
        <v>372</v>
      </c>
      <c r="D23" s="241" t="s">
        <v>162</v>
      </c>
      <c r="E23" s="241" t="s">
        <v>162</v>
      </c>
      <c r="F23" s="241"/>
      <c r="G23" s="266">
        <v>46301.0</v>
      </c>
      <c r="H23" s="213">
        <v>1.075E7</v>
      </c>
      <c r="I23" s="213">
        <v>1000000.0</v>
      </c>
      <c r="J23" s="213">
        <v>1000000.0</v>
      </c>
      <c r="K23" s="213"/>
      <c r="L23" s="171">
        <f t="shared" si="1"/>
        <v>12750000</v>
      </c>
      <c r="M23" s="241">
        <v>1.4</v>
      </c>
      <c r="N23" s="213">
        <f t="shared" si="2"/>
        <v>17850000</v>
      </c>
      <c r="O23" s="171" t="s">
        <v>362</v>
      </c>
      <c r="P23" s="213">
        <v>2.95E7</v>
      </c>
      <c r="Q23" s="213">
        <f t="shared" si="7"/>
        <v>11650000</v>
      </c>
      <c r="R23" s="244">
        <f t="shared" si="8"/>
        <v>0.6526610644</v>
      </c>
      <c r="S23" s="246" t="str">
        <f t="shared" si="9"/>
        <v>Very High</v>
      </c>
      <c r="T23" s="176"/>
      <c r="U23" s="176"/>
      <c r="V23" s="176"/>
    </row>
    <row r="24">
      <c r="A24" s="168" t="s">
        <v>15</v>
      </c>
      <c r="B24" s="234" t="s">
        <v>164</v>
      </c>
      <c r="C24" s="234" t="s">
        <v>372</v>
      </c>
      <c r="D24" s="241" t="s">
        <v>165</v>
      </c>
      <c r="E24" s="241" t="s">
        <v>165</v>
      </c>
      <c r="F24" s="241"/>
      <c r="G24" s="266">
        <v>46301.0</v>
      </c>
      <c r="H24" s="213">
        <v>1.075E7</v>
      </c>
      <c r="I24" s="213">
        <v>1000000.0</v>
      </c>
      <c r="J24" s="213">
        <v>2000000.0</v>
      </c>
      <c r="K24" s="213"/>
      <c r="L24" s="171">
        <f t="shared" si="1"/>
        <v>13750000</v>
      </c>
      <c r="M24" s="241">
        <v>1.4</v>
      </c>
      <c r="N24" s="213">
        <f t="shared" si="2"/>
        <v>19250000</v>
      </c>
      <c r="O24" s="171" t="s">
        <v>362</v>
      </c>
      <c r="P24" s="213">
        <v>3.6E7</v>
      </c>
      <c r="Q24" s="213">
        <f t="shared" si="7"/>
        <v>16750000</v>
      </c>
      <c r="R24" s="244">
        <f t="shared" si="8"/>
        <v>0.8701298701</v>
      </c>
      <c r="S24" s="246" t="str">
        <f t="shared" si="9"/>
        <v>Very High</v>
      </c>
      <c r="T24" s="176"/>
      <c r="U24" s="176"/>
      <c r="V24" s="176"/>
    </row>
    <row r="25">
      <c r="A25" s="168" t="s">
        <v>15</v>
      </c>
      <c r="B25" s="234" t="s">
        <v>353</v>
      </c>
      <c r="C25" s="234" t="s">
        <v>372</v>
      </c>
      <c r="D25" s="241" t="s">
        <v>169</v>
      </c>
      <c r="E25" s="241" t="s">
        <v>169</v>
      </c>
      <c r="F25" s="241"/>
      <c r="G25" s="266">
        <v>46301.0</v>
      </c>
      <c r="H25" s="213">
        <v>8441493.0</v>
      </c>
      <c r="I25" s="213">
        <v>1000000.0</v>
      </c>
      <c r="J25" s="213">
        <v>1000000.0</v>
      </c>
      <c r="K25" s="213"/>
      <c r="L25" s="171">
        <f t="shared" si="1"/>
        <v>10441493</v>
      </c>
      <c r="M25" s="241">
        <v>1.4</v>
      </c>
      <c r="N25" s="213">
        <f t="shared" si="2"/>
        <v>14618090.2</v>
      </c>
      <c r="O25" s="171" t="s">
        <v>362</v>
      </c>
      <c r="P25" s="213">
        <v>3.0E7</v>
      </c>
      <c r="Q25" s="213">
        <f t="shared" si="7"/>
        <v>15381909.8</v>
      </c>
      <c r="R25" s="244">
        <f t="shared" si="8"/>
        <v>1.052251668</v>
      </c>
      <c r="S25" s="246" t="str">
        <f t="shared" si="9"/>
        <v>Very High</v>
      </c>
      <c r="T25" s="176"/>
      <c r="U25" s="176"/>
      <c r="V25" s="176"/>
    </row>
    <row r="26">
      <c r="A26" s="168" t="s">
        <v>15</v>
      </c>
      <c r="B26" s="287" t="s">
        <v>377</v>
      </c>
      <c r="C26" s="234" t="s">
        <v>372</v>
      </c>
      <c r="D26" s="241" t="s">
        <v>169</v>
      </c>
      <c r="E26" s="241" t="s">
        <v>169</v>
      </c>
      <c r="F26" s="241"/>
      <c r="G26" s="266">
        <v>46301.0</v>
      </c>
      <c r="H26" s="213">
        <v>5442000.0</v>
      </c>
      <c r="I26" s="213">
        <v>1000000.0</v>
      </c>
      <c r="J26" s="213">
        <v>1500000.0</v>
      </c>
      <c r="K26" s="213"/>
      <c r="L26" s="171">
        <f t="shared" si="1"/>
        <v>7942000</v>
      </c>
      <c r="M26" s="241">
        <v>1.4</v>
      </c>
      <c r="N26" s="213">
        <f t="shared" si="2"/>
        <v>11118800</v>
      </c>
      <c r="O26" s="171" t="s">
        <v>362</v>
      </c>
      <c r="P26" s="213">
        <v>3.0E7</v>
      </c>
      <c r="Q26" s="213">
        <f t="shared" si="7"/>
        <v>18881200</v>
      </c>
      <c r="R26" s="244">
        <f t="shared" si="8"/>
        <v>1.698132892</v>
      </c>
      <c r="S26" s="246" t="str">
        <f t="shared" si="9"/>
        <v>Very High</v>
      </c>
      <c r="T26" s="176"/>
      <c r="U26" s="176"/>
      <c r="V26" s="176"/>
    </row>
    <row r="27">
      <c r="A27" s="168" t="s">
        <v>15</v>
      </c>
      <c r="B27" s="287" t="s">
        <v>379</v>
      </c>
      <c r="C27" s="234" t="s">
        <v>372</v>
      </c>
      <c r="D27" s="241" t="s">
        <v>165</v>
      </c>
      <c r="E27" s="241" t="s">
        <v>165</v>
      </c>
      <c r="F27" s="241"/>
      <c r="G27" s="266">
        <v>46301.0</v>
      </c>
      <c r="H27" s="213">
        <v>1.6659228E7</v>
      </c>
      <c r="I27" s="213">
        <v>1000000.0</v>
      </c>
      <c r="J27" s="213">
        <v>3000000.0</v>
      </c>
      <c r="K27" s="213"/>
      <c r="L27" s="171">
        <f t="shared" si="1"/>
        <v>20659228</v>
      </c>
      <c r="M27" s="241">
        <v>1.4</v>
      </c>
      <c r="N27" s="213">
        <f t="shared" si="2"/>
        <v>28922919.2</v>
      </c>
      <c r="O27" s="171" t="s">
        <v>362</v>
      </c>
      <c r="P27" s="213">
        <v>3.6E7</v>
      </c>
      <c r="Q27" s="213">
        <f t="shared" si="7"/>
        <v>7077080.8</v>
      </c>
      <c r="R27" s="244">
        <f t="shared" si="8"/>
        <v>0.2446876386</v>
      </c>
      <c r="S27" s="294" t="str">
        <f t="shared" si="9"/>
        <v>High</v>
      </c>
      <c r="T27" s="176"/>
      <c r="U27" s="176"/>
      <c r="V27" s="176"/>
    </row>
    <row r="28">
      <c r="A28" s="168" t="s">
        <v>15</v>
      </c>
      <c r="B28" s="234" t="s">
        <v>152</v>
      </c>
      <c r="C28" s="234" t="s">
        <v>372</v>
      </c>
      <c r="D28" s="241" t="s">
        <v>153</v>
      </c>
      <c r="E28" s="241" t="s">
        <v>153</v>
      </c>
      <c r="F28" s="241"/>
      <c r="G28" s="266">
        <v>46308.0</v>
      </c>
      <c r="H28" s="213">
        <v>9500000.0</v>
      </c>
      <c r="I28" s="213">
        <v>1000000.0</v>
      </c>
      <c r="J28" s="213">
        <v>1000000.0</v>
      </c>
      <c r="K28" s="213"/>
      <c r="L28" s="171">
        <f t="shared" si="1"/>
        <v>11500000</v>
      </c>
      <c r="M28" s="241">
        <v>1.4</v>
      </c>
      <c r="N28" s="213">
        <f t="shared" si="2"/>
        <v>16100000</v>
      </c>
      <c r="O28" s="171" t="s">
        <v>362</v>
      </c>
      <c r="P28" s="213">
        <v>3.05E7</v>
      </c>
      <c r="Q28" s="213">
        <f t="shared" si="7"/>
        <v>14400000</v>
      </c>
      <c r="R28" s="244">
        <f t="shared" si="8"/>
        <v>0.8944099379</v>
      </c>
      <c r="S28" s="246" t="str">
        <f t="shared" si="9"/>
        <v>Very High</v>
      </c>
      <c r="T28" s="176"/>
      <c r="U28" s="176"/>
      <c r="V28" s="176"/>
    </row>
    <row r="29">
      <c r="A29" s="165" t="s">
        <v>10</v>
      </c>
      <c r="B29" s="234" t="s">
        <v>381</v>
      </c>
      <c r="C29" s="234" t="s">
        <v>382</v>
      </c>
      <c r="D29" s="241" t="s">
        <v>169</v>
      </c>
      <c r="E29" s="241" t="s">
        <v>169</v>
      </c>
      <c r="F29" s="241"/>
      <c r="G29" s="297" t="s">
        <v>292</v>
      </c>
      <c r="H29" s="299">
        <v>7210000.0</v>
      </c>
      <c r="I29" s="213">
        <v>1000000.0</v>
      </c>
      <c r="J29" s="213">
        <v>2000000.0</v>
      </c>
      <c r="K29" s="213"/>
      <c r="L29" s="171">
        <f t="shared" si="1"/>
        <v>10210000</v>
      </c>
      <c r="M29" s="241">
        <v>1.4</v>
      </c>
      <c r="N29" s="213">
        <f t="shared" si="2"/>
        <v>14294000</v>
      </c>
      <c r="O29" s="171" t="s">
        <v>362</v>
      </c>
      <c r="P29" s="213">
        <v>3.0E7</v>
      </c>
      <c r="Q29" s="213">
        <f t="shared" si="7"/>
        <v>15706000</v>
      </c>
      <c r="R29" s="244">
        <f t="shared" si="8"/>
        <v>1.098782706</v>
      </c>
      <c r="S29" s="246" t="str">
        <f t="shared" si="9"/>
        <v>Very High</v>
      </c>
      <c r="T29" s="176"/>
      <c r="U29" s="176"/>
      <c r="V29" s="176"/>
    </row>
    <row r="30">
      <c r="A30" s="168" t="s">
        <v>15</v>
      </c>
      <c r="B30" s="303" t="s">
        <v>380</v>
      </c>
      <c r="C30" s="234" t="s">
        <v>382</v>
      </c>
      <c r="D30" s="241" t="s">
        <v>387</v>
      </c>
      <c r="E30" s="241" t="s">
        <v>387</v>
      </c>
      <c r="F30" s="241"/>
      <c r="G30" s="239">
        <v>46478.0</v>
      </c>
      <c r="H30" s="213">
        <v>1.075E7</v>
      </c>
      <c r="I30" s="213">
        <v>1000000.0</v>
      </c>
      <c r="J30" s="213">
        <v>4000000.0</v>
      </c>
      <c r="K30" s="213"/>
      <c r="L30" s="171">
        <f t="shared" si="1"/>
        <v>15750000</v>
      </c>
      <c r="M30" s="241">
        <v>1.4</v>
      </c>
      <c r="N30" s="213">
        <f t="shared" si="2"/>
        <v>22050000</v>
      </c>
      <c r="O30" s="171" t="s">
        <v>362</v>
      </c>
      <c r="P30" s="213">
        <v>3.2E7</v>
      </c>
      <c r="Q30" s="213">
        <f t="shared" si="7"/>
        <v>9950000</v>
      </c>
      <c r="R30" s="244">
        <f t="shared" si="8"/>
        <v>0.4512471655</v>
      </c>
      <c r="S30" s="246" t="str">
        <f t="shared" si="9"/>
        <v>Very High</v>
      </c>
      <c r="T30" s="176"/>
      <c r="U30" s="176"/>
      <c r="V30" s="176"/>
    </row>
    <row r="31">
      <c r="A31" s="165" t="s">
        <v>10</v>
      </c>
      <c r="B31" s="208" t="s">
        <v>80</v>
      </c>
      <c r="C31" s="167" t="s">
        <v>383</v>
      </c>
      <c r="D31" s="298" t="s">
        <v>392</v>
      </c>
      <c r="E31" s="298" t="s">
        <v>343</v>
      </c>
      <c r="F31" s="298"/>
      <c r="G31" s="212">
        <v>46305.0</v>
      </c>
      <c r="H31" s="170">
        <v>1.0713395E7</v>
      </c>
      <c r="I31" s="171">
        <v>1000000.0</v>
      </c>
      <c r="J31" s="171"/>
      <c r="K31" s="171"/>
      <c r="L31" s="171">
        <f t="shared" si="1"/>
        <v>11713395</v>
      </c>
      <c r="M31" s="214">
        <v>1.3</v>
      </c>
      <c r="N31" s="171">
        <f t="shared" si="2"/>
        <v>15227413.5</v>
      </c>
      <c r="O31" s="171">
        <v>2.185E7</v>
      </c>
      <c r="P31" s="200">
        <v>2.06682E7</v>
      </c>
      <c r="Q31" s="171">
        <f t="shared" si="7"/>
        <v>5440786.5</v>
      </c>
      <c r="R31" s="186">
        <f t="shared" si="8"/>
        <v>0.3573020789</v>
      </c>
      <c r="S31" s="235" t="str">
        <f t="shared" si="9"/>
        <v>High</v>
      </c>
      <c r="T31" s="176"/>
      <c r="U31" s="176"/>
      <c r="V31" s="176"/>
    </row>
    <row r="32">
      <c r="A32" s="168" t="s">
        <v>385</v>
      </c>
      <c r="B32" s="313" t="s">
        <v>326</v>
      </c>
      <c r="C32" s="167" t="s">
        <v>384</v>
      </c>
      <c r="D32" s="298" t="s">
        <v>392</v>
      </c>
      <c r="E32" s="316" t="s">
        <v>52</v>
      </c>
      <c r="F32" s="316"/>
      <c r="G32" s="212">
        <v>46613.0</v>
      </c>
      <c r="H32" s="170">
        <v>1.1E7</v>
      </c>
      <c r="I32" s="171">
        <v>1000000.0</v>
      </c>
      <c r="J32" s="200">
        <v>1000000.0</v>
      </c>
      <c r="K32" s="200" t="s">
        <v>402</v>
      </c>
      <c r="L32" s="171">
        <f t="shared" si="1"/>
        <v>13000000</v>
      </c>
      <c r="M32" s="214">
        <v>1.3</v>
      </c>
      <c r="N32" s="171">
        <f t="shared" si="2"/>
        <v>16900000</v>
      </c>
      <c r="O32" s="171">
        <v>2.5E7</v>
      </c>
      <c r="P32" s="200">
        <v>1.9291667E7</v>
      </c>
      <c r="Q32" s="171">
        <f t="shared" si="7"/>
        <v>2391667</v>
      </c>
      <c r="R32" s="186">
        <f t="shared" si="8"/>
        <v>0.1415187574</v>
      </c>
      <c r="S32" s="319" t="str">
        <f t="shared" si="9"/>
        <v>Middle</v>
      </c>
      <c r="T32" s="176"/>
      <c r="U32" s="176"/>
      <c r="V32" s="176"/>
    </row>
    <row r="33">
      <c r="A33" s="168" t="s">
        <v>385</v>
      </c>
      <c r="B33" s="201" t="s">
        <v>65</v>
      </c>
      <c r="C33" s="167" t="s">
        <v>384</v>
      </c>
      <c r="D33" s="298" t="s">
        <v>392</v>
      </c>
      <c r="E33" s="316" t="s">
        <v>52</v>
      </c>
      <c r="F33" s="316"/>
      <c r="G33" s="212">
        <v>46310.0</v>
      </c>
      <c r="H33" s="170">
        <v>9482748.0</v>
      </c>
      <c r="I33" s="171">
        <v>1000000.0</v>
      </c>
      <c r="J33" s="200">
        <v>500000.0</v>
      </c>
      <c r="K33" s="171"/>
      <c r="L33" s="171">
        <f t="shared" si="1"/>
        <v>10982748</v>
      </c>
      <c r="M33" s="214">
        <v>1.3</v>
      </c>
      <c r="N33" s="171">
        <f t="shared" si="2"/>
        <v>14277572.4</v>
      </c>
      <c r="O33" s="171">
        <v>2.5E7</v>
      </c>
      <c r="P33" s="200">
        <v>1.9291667E7</v>
      </c>
      <c r="Q33" s="171">
        <f t="shared" si="7"/>
        <v>5014094.6</v>
      </c>
      <c r="R33" s="186">
        <f t="shared" si="8"/>
        <v>0.3511867746</v>
      </c>
      <c r="S33" s="235" t="str">
        <f t="shared" si="9"/>
        <v>High</v>
      </c>
      <c r="T33" s="176"/>
      <c r="U33" s="176"/>
      <c r="V33" s="176"/>
    </row>
    <row r="34">
      <c r="A34" s="168" t="s">
        <v>385</v>
      </c>
      <c r="B34" s="208" t="s">
        <v>56</v>
      </c>
      <c r="C34" s="167" t="s">
        <v>384</v>
      </c>
      <c r="D34" s="298" t="s">
        <v>392</v>
      </c>
      <c r="E34" s="316" t="s">
        <v>52</v>
      </c>
      <c r="F34" s="316"/>
      <c r="G34" s="324">
        <v>46469.0</v>
      </c>
      <c r="H34" s="230">
        <v>1.0056338E7</v>
      </c>
      <c r="I34" s="171">
        <v>1000000.0</v>
      </c>
      <c r="J34" s="171">
        <v>300000.0</v>
      </c>
      <c r="K34" s="171"/>
      <c r="L34" s="171">
        <f t="shared" si="1"/>
        <v>11356338</v>
      </c>
      <c r="M34" s="214">
        <v>1.3</v>
      </c>
      <c r="N34" s="171">
        <f t="shared" si="2"/>
        <v>14763239.4</v>
      </c>
      <c r="O34" s="171">
        <v>2.5E7</v>
      </c>
      <c r="P34" s="200">
        <v>1.9291667E7</v>
      </c>
      <c r="Q34" s="171">
        <f t="shared" si="7"/>
        <v>4528427.6</v>
      </c>
      <c r="R34" s="186">
        <f t="shared" si="8"/>
        <v>0.306736718</v>
      </c>
      <c r="S34" s="326" t="str">
        <f t="shared" si="9"/>
        <v>High</v>
      </c>
      <c r="T34" s="176"/>
      <c r="U34" s="176"/>
      <c r="V34" s="176"/>
    </row>
    <row r="35">
      <c r="A35" s="168" t="s">
        <v>385</v>
      </c>
      <c r="B35" s="167" t="s">
        <v>386</v>
      </c>
      <c r="C35" s="167" t="s">
        <v>384</v>
      </c>
      <c r="D35" s="298" t="s">
        <v>412</v>
      </c>
      <c r="E35" s="298" t="s">
        <v>413</v>
      </c>
      <c r="F35" s="298"/>
      <c r="G35" s="324">
        <v>46288.0</v>
      </c>
      <c r="H35" s="170">
        <v>1.0713395E7</v>
      </c>
      <c r="I35" s="171">
        <v>1000000.0</v>
      </c>
      <c r="J35" s="200">
        <v>4000000.0</v>
      </c>
      <c r="K35" s="171"/>
      <c r="L35" s="171">
        <f t="shared" si="1"/>
        <v>15713395</v>
      </c>
      <c r="M35" s="214">
        <v>1.3</v>
      </c>
      <c r="N35" s="171">
        <f t="shared" si="2"/>
        <v>20427413.5</v>
      </c>
      <c r="O35" s="171">
        <v>2.5E7</v>
      </c>
      <c r="P35" s="200">
        <v>1.9291667E7</v>
      </c>
      <c r="Q35" s="171">
        <f t="shared" si="7"/>
        <v>-1135746.5</v>
      </c>
      <c r="R35" s="186">
        <f t="shared" si="8"/>
        <v>-0.05559913398</v>
      </c>
      <c r="S35" s="326" t="str">
        <f t="shared" si="9"/>
        <v>Min</v>
      </c>
      <c r="T35" s="176"/>
      <c r="U35" s="176"/>
      <c r="V35" s="176"/>
    </row>
    <row r="36">
      <c r="A36" s="168" t="s">
        <v>385</v>
      </c>
      <c r="B36" s="216" t="s">
        <v>419</v>
      </c>
      <c r="C36" s="167" t="s">
        <v>384</v>
      </c>
      <c r="D36" s="298" t="s">
        <v>412</v>
      </c>
      <c r="E36" s="298" t="s">
        <v>413</v>
      </c>
      <c r="F36" s="298"/>
      <c r="G36" s="324">
        <v>46288.0</v>
      </c>
      <c r="H36" s="198">
        <v>1.1296249E7</v>
      </c>
      <c r="I36" s="171">
        <v>1000000.0</v>
      </c>
      <c r="J36" s="200">
        <v>3500000.0</v>
      </c>
      <c r="K36" s="200" t="s">
        <v>422</v>
      </c>
      <c r="L36" s="171">
        <f t="shared" si="1"/>
        <v>15796249</v>
      </c>
      <c r="M36" s="214">
        <v>1.3</v>
      </c>
      <c r="N36" s="171">
        <f t="shared" si="2"/>
        <v>20535123.7</v>
      </c>
      <c r="O36" s="171">
        <v>2.5E7</v>
      </c>
      <c r="P36" s="200">
        <v>1.9291667E7</v>
      </c>
      <c r="Q36" s="171">
        <f t="shared" si="7"/>
        <v>-1243456.7</v>
      </c>
      <c r="R36" s="186">
        <f t="shared" si="8"/>
        <v>-0.06055267639</v>
      </c>
      <c r="S36" s="326" t="str">
        <f t="shared" si="9"/>
        <v>Min</v>
      </c>
      <c r="T36" s="176"/>
      <c r="U36" s="176"/>
      <c r="V36" s="176"/>
    </row>
    <row r="37">
      <c r="A37" s="168" t="s">
        <v>385</v>
      </c>
      <c r="B37" s="208" t="s">
        <v>67</v>
      </c>
      <c r="C37" s="167" t="s">
        <v>384</v>
      </c>
      <c r="D37" s="298" t="s">
        <v>392</v>
      </c>
      <c r="E37" s="316" t="s">
        <v>52</v>
      </c>
      <c r="F37" s="316"/>
      <c r="G37" s="212">
        <v>46308.0</v>
      </c>
      <c r="H37" s="200">
        <v>1.0056338E7</v>
      </c>
      <c r="I37" s="171">
        <v>1000000.0</v>
      </c>
      <c r="J37" s="200"/>
      <c r="K37" s="171"/>
      <c r="L37" s="171">
        <f t="shared" si="1"/>
        <v>11056338</v>
      </c>
      <c r="M37" s="214">
        <v>1.3</v>
      </c>
      <c r="N37" s="171">
        <f t="shared" si="2"/>
        <v>14373239.4</v>
      </c>
      <c r="O37" s="171">
        <v>2.5E7</v>
      </c>
      <c r="P37" s="200">
        <v>1.9291667E7</v>
      </c>
      <c r="Q37" s="171">
        <f t="shared" si="7"/>
        <v>4918427.6</v>
      </c>
      <c r="R37" s="186">
        <f t="shared" si="8"/>
        <v>0.3421933959</v>
      </c>
      <c r="S37" s="235" t="str">
        <f t="shared" si="9"/>
        <v>High</v>
      </c>
      <c r="T37" s="176"/>
      <c r="U37" s="176"/>
      <c r="V37" s="176"/>
    </row>
    <row r="38">
      <c r="A38" s="168" t="s">
        <v>385</v>
      </c>
      <c r="B38" s="201" t="s">
        <v>62</v>
      </c>
      <c r="C38" s="167" t="s">
        <v>384</v>
      </c>
      <c r="D38" s="298" t="s">
        <v>392</v>
      </c>
      <c r="E38" s="316" t="s">
        <v>52</v>
      </c>
      <c r="F38" s="316"/>
      <c r="G38" s="222" t="s">
        <v>437</v>
      </c>
      <c r="H38" s="170">
        <v>8405962.0</v>
      </c>
      <c r="I38" s="171">
        <v>1000000.0</v>
      </c>
      <c r="J38" s="171">
        <v>800000.0</v>
      </c>
      <c r="K38" s="171" t="s">
        <v>438</v>
      </c>
      <c r="L38" s="171">
        <f t="shared" si="1"/>
        <v>10205962</v>
      </c>
      <c r="M38" s="214">
        <v>1.3</v>
      </c>
      <c r="N38" s="171">
        <f t="shared" si="2"/>
        <v>13267750.6</v>
      </c>
      <c r="O38" s="171">
        <v>2.5E7</v>
      </c>
      <c r="P38" s="200">
        <v>1.9291667E7</v>
      </c>
      <c r="Q38" s="171">
        <f t="shared" si="7"/>
        <v>6023916.4</v>
      </c>
      <c r="R38" s="186">
        <f t="shared" si="8"/>
        <v>0.4540269547</v>
      </c>
      <c r="S38" s="235" t="str">
        <f t="shared" si="9"/>
        <v>Very High</v>
      </c>
      <c r="T38" s="176"/>
      <c r="U38" s="176"/>
      <c r="V38" s="176"/>
    </row>
    <row r="39">
      <c r="A39" s="168" t="s">
        <v>385</v>
      </c>
      <c r="B39" s="201" t="s">
        <v>64</v>
      </c>
      <c r="C39" s="167" t="s">
        <v>384</v>
      </c>
      <c r="D39" s="298" t="s">
        <v>392</v>
      </c>
      <c r="E39" s="316" t="s">
        <v>52</v>
      </c>
      <c r="F39" s="316"/>
      <c r="G39" s="232">
        <v>46397.0</v>
      </c>
      <c r="H39" s="170">
        <v>1.0713395E7</v>
      </c>
      <c r="I39" s="171">
        <v>1000000.0</v>
      </c>
      <c r="J39" s="171"/>
      <c r="K39" s="171"/>
      <c r="L39" s="171">
        <f t="shared" si="1"/>
        <v>11713395</v>
      </c>
      <c r="M39" s="214">
        <v>1.3</v>
      </c>
      <c r="N39" s="171">
        <f t="shared" si="2"/>
        <v>15227413.5</v>
      </c>
      <c r="O39" s="171">
        <v>2.5E7</v>
      </c>
      <c r="P39" s="200">
        <v>1.9291667E7</v>
      </c>
      <c r="Q39" s="171">
        <f t="shared" si="7"/>
        <v>4064253.5</v>
      </c>
      <c r="R39" s="186">
        <f t="shared" si="8"/>
        <v>0.2669037325</v>
      </c>
      <c r="S39" s="326" t="str">
        <f t="shared" si="9"/>
        <v>High</v>
      </c>
      <c r="T39" s="176"/>
      <c r="U39" s="176"/>
      <c r="V39" s="176"/>
    </row>
    <row r="40">
      <c r="A40" s="168" t="s">
        <v>385</v>
      </c>
      <c r="B40" s="313" t="s">
        <v>325</v>
      </c>
      <c r="C40" s="167" t="s">
        <v>384</v>
      </c>
      <c r="D40" s="298" t="s">
        <v>392</v>
      </c>
      <c r="E40" s="316" t="s">
        <v>52</v>
      </c>
      <c r="F40" s="316"/>
      <c r="G40" s="232">
        <v>46408.0</v>
      </c>
      <c r="H40" s="213">
        <v>8926054.0</v>
      </c>
      <c r="I40" s="171">
        <v>1000000.0</v>
      </c>
      <c r="J40" s="213">
        <v>300000.0</v>
      </c>
      <c r="K40" s="171"/>
      <c r="L40" s="171">
        <f t="shared" si="1"/>
        <v>10226054</v>
      </c>
      <c r="M40" s="214">
        <v>1.3</v>
      </c>
      <c r="N40" s="171">
        <f t="shared" si="2"/>
        <v>13293870.2</v>
      </c>
      <c r="O40" s="171">
        <v>2.5E7</v>
      </c>
      <c r="P40" s="200">
        <v>1.9291667E7</v>
      </c>
      <c r="Q40" s="171">
        <f t="shared" si="7"/>
        <v>5997796.8</v>
      </c>
      <c r="R40" s="186">
        <f t="shared" si="8"/>
        <v>0.4511701039</v>
      </c>
      <c r="S40" s="235" t="str">
        <f t="shared" si="9"/>
        <v>Very High</v>
      </c>
      <c r="T40" s="176"/>
      <c r="U40" s="176"/>
      <c r="V40" s="176"/>
    </row>
    <row r="41">
      <c r="A41" s="168" t="s">
        <v>385</v>
      </c>
      <c r="B41" s="313" t="s">
        <v>66</v>
      </c>
      <c r="C41" s="167" t="s">
        <v>384</v>
      </c>
      <c r="D41" s="298" t="s">
        <v>392</v>
      </c>
      <c r="E41" s="316" t="s">
        <v>52</v>
      </c>
      <c r="F41" s="316"/>
      <c r="G41" s="337">
        <v>46426.0</v>
      </c>
      <c r="H41" s="170">
        <v>1.0056338E7</v>
      </c>
      <c r="I41" s="171">
        <v>1000000.0</v>
      </c>
      <c r="J41" s="171">
        <v>300000.0</v>
      </c>
      <c r="K41" s="171"/>
      <c r="L41" s="171">
        <f t="shared" si="1"/>
        <v>11356338</v>
      </c>
      <c r="M41" s="214">
        <v>1.3</v>
      </c>
      <c r="N41" s="171">
        <f t="shared" si="2"/>
        <v>14763239.4</v>
      </c>
      <c r="O41" s="171">
        <v>2.5E7</v>
      </c>
      <c r="P41" s="200">
        <v>1.9291667E7</v>
      </c>
      <c r="Q41" s="171">
        <f t="shared" si="7"/>
        <v>4528427.6</v>
      </c>
      <c r="R41" s="186">
        <f t="shared" si="8"/>
        <v>0.306736718</v>
      </c>
      <c r="S41" s="326" t="str">
        <f t="shared" si="9"/>
        <v>High</v>
      </c>
      <c r="T41" s="176"/>
      <c r="U41" s="176"/>
      <c r="V41" s="176"/>
    </row>
    <row r="42">
      <c r="A42" s="168" t="s">
        <v>385</v>
      </c>
      <c r="B42" s="208" t="s">
        <v>60</v>
      </c>
      <c r="C42" s="167" t="s">
        <v>384</v>
      </c>
      <c r="D42" s="298" t="s">
        <v>392</v>
      </c>
      <c r="E42" s="316" t="s">
        <v>52</v>
      </c>
      <c r="F42" s="316"/>
      <c r="G42" s="169">
        <v>46548.0</v>
      </c>
      <c r="H42" s="230">
        <v>1.0700165E7</v>
      </c>
      <c r="I42" s="204">
        <v>1000000.0</v>
      </c>
      <c r="J42" s="204"/>
      <c r="K42" s="170"/>
      <c r="L42" s="171">
        <f t="shared" si="1"/>
        <v>11700165</v>
      </c>
      <c r="M42" s="214">
        <v>1.3</v>
      </c>
      <c r="N42" s="171">
        <f t="shared" si="2"/>
        <v>15210214.5</v>
      </c>
      <c r="O42" s="171">
        <v>2.5E7</v>
      </c>
      <c r="P42" s="200">
        <v>1.9291667E7</v>
      </c>
      <c r="Q42" s="171">
        <f t="shared" si="7"/>
        <v>4081452.5</v>
      </c>
      <c r="R42" s="186">
        <f t="shared" si="8"/>
        <v>0.2683362881</v>
      </c>
      <c r="S42" s="326" t="str">
        <f t="shared" si="9"/>
        <v>High</v>
      </c>
      <c r="T42" s="176"/>
      <c r="U42" s="176"/>
      <c r="V42" s="176"/>
    </row>
    <row r="43">
      <c r="A43" s="168" t="s">
        <v>385</v>
      </c>
      <c r="B43" s="208" t="s">
        <v>61</v>
      </c>
      <c r="C43" s="167" t="s">
        <v>384</v>
      </c>
      <c r="D43" s="298" t="s">
        <v>392</v>
      </c>
      <c r="E43" s="316" t="s">
        <v>52</v>
      </c>
      <c r="F43" s="316"/>
      <c r="G43" s="239">
        <v>46339.0</v>
      </c>
      <c r="H43" s="170">
        <v>1.0713395E7</v>
      </c>
      <c r="I43" s="171">
        <v>1000000.0</v>
      </c>
      <c r="J43" s="170">
        <v>500000.0</v>
      </c>
      <c r="K43" s="170"/>
      <c r="L43" s="171">
        <f t="shared" si="1"/>
        <v>12213395</v>
      </c>
      <c r="M43" s="214">
        <v>1.3</v>
      </c>
      <c r="N43" s="171">
        <f t="shared" si="2"/>
        <v>15877413.5</v>
      </c>
      <c r="O43" s="171">
        <v>2.5E7</v>
      </c>
      <c r="P43" s="200">
        <v>1.9291667E7</v>
      </c>
      <c r="Q43" s="171">
        <f t="shared" si="7"/>
        <v>3414253.5</v>
      </c>
      <c r="R43" s="186">
        <f t="shared" si="8"/>
        <v>0.215038394</v>
      </c>
      <c r="S43" s="319" t="str">
        <f t="shared" si="9"/>
        <v>High</v>
      </c>
      <c r="T43" s="176"/>
      <c r="U43" s="176"/>
      <c r="V43" s="176"/>
    </row>
    <row r="44">
      <c r="A44" s="168" t="s">
        <v>385</v>
      </c>
      <c r="B44" s="167" t="s">
        <v>388</v>
      </c>
      <c r="C44" s="167" t="s">
        <v>384</v>
      </c>
      <c r="D44" s="298" t="s">
        <v>392</v>
      </c>
      <c r="E44" s="316" t="s">
        <v>52</v>
      </c>
      <c r="F44" s="316"/>
      <c r="G44" s="339" t="s">
        <v>442</v>
      </c>
      <c r="H44" s="204">
        <v>5442000.0</v>
      </c>
      <c r="I44" s="171">
        <v>1000000.0</v>
      </c>
      <c r="J44" s="204"/>
      <c r="K44" s="170"/>
      <c r="L44" s="171">
        <f t="shared" si="1"/>
        <v>6442000</v>
      </c>
      <c r="M44" s="214">
        <v>1.3</v>
      </c>
      <c r="N44" s="171">
        <f t="shared" si="2"/>
        <v>8374600</v>
      </c>
      <c r="O44" s="171">
        <v>2.5E7</v>
      </c>
      <c r="P44" s="200">
        <v>1.9291667E7</v>
      </c>
      <c r="Q44" s="171">
        <f t="shared" si="7"/>
        <v>10917067</v>
      </c>
      <c r="R44" s="186">
        <f t="shared" si="8"/>
        <v>1.303592649</v>
      </c>
      <c r="S44" s="341" t="str">
        <f t="shared" si="9"/>
        <v>Very High</v>
      </c>
      <c r="T44" s="176"/>
      <c r="U44" s="176"/>
      <c r="V44" s="176"/>
    </row>
    <row r="45">
      <c r="A45" s="168" t="s">
        <v>385</v>
      </c>
      <c r="B45" s="216" t="s">
        <v>443</v>
      </c>
      <c r="C45" s="167" t="s">
        <v>384</v>
      </c>
      <c r="D45" s="298" t="s">
        <v>392</v>
      </c>
      <c r="E45" s="316" t="s">
        <v>52</v>
      </c>
      <c r="F45" s="316"/>
      <c r="G45" s="339" t="s">
        <v>442</v>
      </c>
      <c r="H45" s="204">
        <v>5442000.0</v>
      </c>
      <c r="I45" s="171">
        <v>1000000.0</v>
      </c>
      <c r="J45" s="204">
        <v>1500000.0</v>
      </c>
      <c r="K45" s="170"/>
      <c r="L45" s="171">
        <f t="shared" si="1"/>
        <v>7942000</v>
      </c>
      <c r="M45" s="214">
        <v>1.3</v>
      </c>
      <c r="N45" s="171">
        <f t="shared" si="2"/>
        <v>10324600</v>
      </c>
      <c r="O45" s="171">
        <v>2.5E7</v>
      </c>
      <c r="P45" s="200">
        <v>1.9291667E7</v>
      </c>
      <c r="Q45" s="171">
        <f t="shared" si="7"/>
        <v>8967067</v>
      </c>
      <c r="R45" s="186">
        <f t="shared" si="8"/>
        <v>0.8685147124</v>
      </c>
      <c r="S45" s="341" t="str">
        <f t="shared" si="9"/>
        <v>Very High</v>
      </c>
      <c r="T45" s="176"/>
      <c r="U45" s="176"/>
      <c r="V45" s="176"/>
    </row>
    <row r="46">
      <c r="A46" s="168" t="s">
        <v>385</v>
      </c>
      <c r="B46" s="216" t="s">
        <v>443</v>
      </c>
      <c r="C46" s="167" t="s">
        <v>384</v>
      </c>
      <c r="D46" s="298" t="s">
        <v>392</v>
      </c>
      <c r="E46" s="316" t="s">
        <v>52</v>
      </c>
      <c r="F46" s="316"/>
      <c r="G46" s="344">
        <v>46332.0</v>
      </c>
      <c r="H46" s="345">
        <v>6250884.0</v>
      </c>
      <c r="I46" s="171">
        <v>1000000.0</v>
      </c>
      <c r="J46" s="204">
        <v>1000000.0</v>
      </c>
      <c r="K46" s="170"/>
      <c r="L46" s="171">
        <f t="shared" si="1"/>
        <v>8250884</v>
      </c>
      <c r="M46" s="214">
        <v>1.3</v>
      </c>
      <c r="N46" s="171">
        <f t="shared" si="2"/>
        <v>10726149.2</v>
      </c>
      <c r="O46" s="171">
        <v>2.5E7</v>
      </c>
      <c r="P46" s="200">
        <v>1.9291667E7</v>
      </c>
      <c r="Q46" s="171">
        <f t="shared" si="7"/>
        <v>8565517.8</v>
      </c>
      <c r="R46" s="186">
        <f t="shared" si="8"/>
        <v>0.798564111</v>
      </c>
      <c r="S46" s="341" t="str">
        <f t="shared" si="9"/>
        <v>Very High</v>
      </c>
      <c r="T46" s="176"/>
      <c r="U46" s="176"/>
      <c r="V46" s="176"/>
    </row>
    <row r="47">
      <c r="A47" s="168" t="s">
        <v>385</v>
      </c>
      <c r="B47" s="167" t="s">
        <v>174</v>
      </c>
      <c r="C47" s="167" t="s">
        <v>384</v>
      </c>
      <c r="D47" s="298" t="s">
        <v>392</v>
      </c>
      <c r="E47" s="316" t="s">
        <v>52</v>
      </c>
      <c r="F47" s="316"/>
      <c r="G47" s="347" t="s">
        <v>444</v>
      </c>
      <c r="H47" s="204">
        <v>5442000.0</v>
      </c>
      <c r="I47" s="171">
        <v>1000000.0</v>
      </c>
      <c r="J47" s="170">
        <v>500000.0</v>
      </c>
      <c r="K47" s="170"/>
      <c r="L47" s="171">
        <f t="shared" si="1"/>
        <v>6942000</v>
      </c>
      <c r="M47" s="214">
        <v>1.3</v>
      </c>
      <c r="N47" s="171">
        <f t="shared" si="2"/>
        <v>9024600</v>
      </c>
      <c r="O47" s="171">
        <v>2.5E7</v>
      </c>
      <c r="P47" s="200">
        <v>1.9291667E7</v>
      </c>
      <c r="Q47" s="171">
        <f t="shared" si="7"/>
        <v>10267067</v>
      </c>
      <c r="R47" s="186">
        <f t="shared" si="8"/>
        <v>1.137675576</v>
      </c>
      <c r="S47" s="341" t="str">
        <f t="shared" si="9"/>
        <v>Very High</v>
      </c>
      <c r="T47" s="176"/>
      <c r="U47" s="176"/>
      <c r="V47" s="176"/>
    </row>
    <row r="48">
      <c r="A48" s="168" t="s">
        <v>385</v>
      </c>
      <c r="B48" s="167" t="s">
        <v>389</v>
      </c>
      <c r="C48" s="167" t="s">
        <v>384</v>
      </c>
      <c r="D48" s="298" t="s">
        <v>392</v>
      </c>
      <c r="E48" s="316" t="s">
        <v>52</v>
      </c>
      <c r="F48" s="316"/>
      <c r="G48" s="260">
        <v>46473.0</v>
      </c>
      <c r="H48" s="345">
        <v>6789705.0</v>
      </c>
      <c r="I48" s="171">
        <v>1000000.0</v>
      </c>
      <c r="J48" s="170">
        <v>500000.0</v>
      </c>
      <c r="K48" s="170"/>
      <c r="L48" s="171">
        <f t="shared" si="1"/>
        <v>8289705</v>
      </c>
      <c r="M48" s="214">
        <v>1.3</v>
      </c>
      <c r="N48" s="171">
        <f t="shared" si="2"/>
        <v>10776616.5</v>
      </c>
      <c r="O48" s="171">
        <v>2.5E7</v>
      </c>
      <c r="P48" s="200">
        <v>1.9291667E7</v>
      </c>
      <c r="Q48" s="171">
        <f t="shared" si="7"/>
        <v>8515050.5</v>
      </c>
      <c r="R48" s="186">
        <f t="shared" si="8"/>
        <v>0.7901413677</v>
      </c>
      <c r="S48" s="341" t="str">
        <f t="shared" si="9"/>
        <v>Very High</v>
      </c>
      <c r="T48" s="176"/>
      <c r="U48" s="176"/>
      <c r="V48" s="176"/>
    </row>
    <row r="49">
      <c r="A49" s="168" t="s">
        <v>10</v>
      </c>
      <c r="B49" s="305" t="s">
        <v>390</v>
      </c>
      <c r="C49" s="208" t="s">
        <v>304</v>
      </c>
      <c r="D49" s="165" t="s">
        <v>305</v>
      </c>
      <c r="E49" s="165" t="s">
        <v>311</v>
      </c>
      <c r="F49" s="165"/>
      <c r="G49" s="350">
        <v>46595.0</v>
      </c>
      <c r="H49" s="198">
        <v>1.2524067E7</v>
      </c>
      <c r="I49" s="200">
        <v>500000.0</v>
      </c>
      <c r="J49" s="351"/>
      <c r="K49" s="200"/>
      <c r="L49" s="171">
        <f t="shared" si="1"/>
        <v>13024067</v>
      </c>
      <c r="M49" s="176">
        <v>1.4</v>
      </c>
      <c r="N49" s="171">
        <f t="shared" si="2"/>
        <v>18233693.8</v>
      </c>
      <c r="O49" s="200">
        <v>2.38E7</v>
      </c>
      <c r="P49" s="200">
        <f>(O49/1.11)*98%</f>
        <v>21012612.61</v>
      </c>
      <c r="Q49" s="171">
        <f t="shared" si="7"/>
        <v>2778918.813</v>
      </c>
      <c r="R49" s="186">
        <f t="shared" si="8"/>
        <v>0.152405697</v>
      </c>
      <c r="S49" s="326" t="str">
        <f t="shared" si="9"/>
        <v>Middle</v>
      </c>
      <c r="T49" s="171"/>
      <c r="U49" s="176"/>
      <c r="V49" s="176"/>
    </row>
    <row r="50" ht="16.5" customHeight="1">
      <c r="A50" s="165" t="s">
        <v>10</v>
      </c>
      <c r="B50" s="208" t="s">
        <v>87</v>
      </c>
      <c r="C50" s="208" t="s">
        <v>304</v>
      </c>
      <c r="D50" s="165" t="s">
        <v>305</v>
      </c>
      <c r="E50" s="165" t="s">
        <v>312</v>
      </c>
      <c r="F50" s="165"/>
      <c r="G50" s="219" t="s">
        <v>292</v>
      </c>
      <c r="H50" s="170">
        <v>1.429721E7</v>
      </c>
      <c r="I50" s="171">
        <v>1000000.0</v>
      </c>
      <c r="J50" s="171">
        <v>1000000.0</v>
      </c>
      <c r="K50" s="170"/>
      <c r="L50" s="171">
        <f t="shared" si="1"/>
        <v>16297210</v>
      </c>
      <c r="M50" s="176">
        <v>1.3</v>
      </c>
      <c r="N50" s="171">
        <f t="shared" si="2"/>
        <v>21186373</v>
      </c>
      <c r="O50" s="171">
        <v>4.0E7</v>
      </c>
      <c r="P50" s="171">
        <v>3.5315316E7</v>
      </c>
      <c r="Q50" s="171">
        <f t="shared" si="7"/>
        <v>14128943</v>
      </c>
      <c r="R50" s="186">
        <f t="shared" si="8"/>
        <v>0.6668882399</v>
      </c>
      <c r="S50" s="192" t="str">
        <f t="shared" si="9"/>
        <v>Very High</v>
      </c>
      <c r="T50" s="176"/>
      <c r="U50" s="176"/>
      <c r="V50" s="176"/>
    </row>
    <row r="51">
      <c r="A51" s="168" t="s">
        <v>15</v>
      </c>
      <c r="B51" s="287" t="s">
        <v>447</v>
      </c>
      <c r="C51" s="353" t="s">
        <v>418</v>
      </c>
      <c r="D51" s="354"/>
      <c r="E51" s="356" t="s">
        <v>448</v>
      </c>
      <c r="F51" s="354"/>
      <c r="G51" s="356" t="s">
        <v>449</v>
      </c>
      <c r="H51" s="171">
        <v>9078439.0</v>
      </c>
      <c r="I51" s="357"/>
      <c r="J51" s="198">
        <v>1000000.0</v>
      </c>
      <c r="K51" s="354"/>
      <c r="L51" s="171">
        <f t="shared" si="1"/>
        <v>10078439</v>
      </c>
      <c r="M51" s="354"/>
      <c r="N51" s="354"/>
      <c r="O51" s="354"/>
      <c r="P51" s="354"/>
      <c r="Q51" s="354"/>
      <c r="R51" s="354"/>
      <c r="S51" s="354"/>
      <c r="T51" s="354"/>
      <c r="U51" s="354"/>
      <c r="V51" s="354"/>
    </row>
    <row r="52">
      <c r="A52" s="168" t="s">
        <v>15</v>
      </c>
      <c r="B52" s="287" t="s">
        <v>450</v>
      </c>
      <c r="C52" s="353" t="s">
        <v>418</v>
      </c>
      <c r="D52" s="354"/>
      <c r="E52" s="356" t="s">
        <v>453</v>
      </c>
      <c r="F52" s="354"/>
      <c r="G52" s="358">
        <v>46332.0</v>
      </c>
      <c r="H52" s="213">
        <v>5729876.0</v>
      </c>
      <c r="I52" s="357"/>
      <c r="J52" s="357"/>
      <c r="K52" s="354"/>
      <c r="L52" s="171">
        <f t="shared" si="1"/>
        <v>5729876</v>
      </c>
      <c r="M52" s="354"/>
      <c r="N52" s="354"/>
      <c r="O52" s="354"/>
      <c r="P52" s="354"/>
      <c r="Q52" s="354"/>
      <c r="R52" s="354"/>
      <c r="S52" s="354"/>
      <c r="T52" s="354"/>
      <c r="U52" s="354"/>
      <c r="V52" s="354"/>
    </row>
    <row r="53">
      <c r="A53" s="356" t="s">
        <v>10</v>
      </c>
      <c r="B53" s="287" t="s">
        <v>455</v>
      </c>
      <c r="C53" s="167" t="s">
        <v>418</v>
      </c>
      <c r="D53" s="354"/>
      <c r="E53" s="356" t="s">
        <v>299</v>
      </c>
      <c r="F53" s="354"/>
      <c r="G53" s="360">
        <v>46274.0</v>
      </c>
      <c r="H53" s="198">
        <v>9036409.0</v>
      </c>
      <c r="I53" s="357"/>
      <c r="J53" s="357"/>
      <c r="K53" s="354"/>
      <c r="L53" s="171">
        <f t="shared" si="1"/>
        <v>9036409</v>
      </c>
      <c r="M53" s="354"/>
      <c r="N53" s="354"/>
      <c r="O53" s="354"/>
      <c r="P53" s="354"/>
      <c r="Q53" s="354"/>
      <c r="R53" s="354"/>
      <c r="S53" s="354"/>
      <c r="T53" s="354"/>
      <c r="U53" s="354"/>
      <c r="V53" s="354"/>
    </row>
    <row r="54">
      <c r="A54" s="168" t="s">
        <v>15</v>
      </c>
      <c r="B54" s="287" t="s">
        <v>229</v>
      </c>
      <c r="C54" s="167" t="s">
        <v>418</v>
      </c>
      <c r="D54" s="354"/>
      <c r="E54" s="356" t="s">
        <v>456</v>
      </c>
      <c r="F54" s="354"/>
      <c r="G54" s="361">
        <v>46400.0</v>
      </c>
      <c r="H54" s="198">
        <v>6792538.0</v>
      </c>
      <c r="I54" s="357"/>
      <c r="J54" s="357"/>
      <c r="K54" s="354"/>
      <c r="L54" s="171">
        <f t="shared" si="1"/>
        <v>6792538</v>
      </c>
      <c r="M54" s="354"/>
      <c r="N54" s="354"/>
      <c r="O54" s="354"/>
      <c r="P54" s="354"/>
      <c r="Q54" s="354"/>
      <c r="R54" s="354"/>
      <c r="S54" s="354"/>
      <c r="T54" s="354"/>
      <c r="U54" s="354"/>
      <c r="V54" s="354"/>
    </row>
    <row r="55">
      <c r="A55" s="168" t="s">
        <v>15</v>
      </c>
      <c r="B55" s="353" t="s">
        <v>457</v>
      </c>
      <c r="C55" s="353" t="s">
        <v>418</v>
      </c>
      <c r="D55" s="354"/>
      <c r="E55" s="356" t="s">
        <v>117</v>
      </c>
      <c r="F55" s="354"/>
      <c r="G55" s="260">
        <v>46407.0</v>
      </c>
      <c r="H55" s="198">
        <v>5439500.0</v>
      </c>
      <c r="I55" s="357"/>
      <c r="J55" s="357"/>
      <c r="K55" s="354"/>
      <c r="L55" s="171">
        <f t="shared" si="1"/>
        <v>5439500</v>
      </c>
      <c r="M55" s="354"/>
      <c r="N55" s="354"/>
      <c r="O55" s="354"/>
      <c r="P55" s="354"/>
      <c r="Q55" s="354"/>
      <c r="R55" s="354"/>
      <c r="S55" s="354"/>
      <c r="T55" s="354"/>
      <c r="U55" s="354"/>
      <c r="V55" s="354"/>
    </row>
    <row r="56">
      <c r="A56" s="168" t="s">
        <v>15</v>
      </c>
      <c r="B56" s="353" t="s">
        <v>458</v>
      </c>
      <c r="C56" s="353" t="s">
        <v>418</v>
      </c>
      <c r="D56" s="354"/>
      <c r="E56" s="363" t="s">
        <v>459</v>
      </c>
      <c r="F56" s="354"/>
      <c r="G56" s="360">
        <v>46274.0</v>
      </c>
      <c r="H56" s="198">
        <v>1.006E7</v>
      </c>
      <c r="I56" s="357"/>
      <c r="J56" s="357"/>
      <c r="K56" s="354"/>
      <c r="L56" s="171">
        <f t="shared" si="1"/>
        <v>10060000</v>
      </c>
      <c r="M56" s="354"/>
      <c r="N56" s="354"/>
      <c r="O56" s="354"/>
      <c r="P56" s="354"/>
      <c r="Q56" s="354"/>
      <c r="R56" s="354"/>
      <c r="S56" s="354"/>
      <c r="T56" s="354"/>
      <c r="U56" s="354"/>
      <c r="V56" s="354"/>
    </row>
    <row r="57">
      <c r="A57" s="168" t="s">
        <v>15</v>
      </c>
      <c r="B57" s="353" t="s">
        <v>460</v>
      </c>
      <c r="C57" s="353" t="s">
        <v>418</v>
      </c>
      <c r="D57" s="354"/>
      <c r="E57" s="356" t="s">
        <v>461</v>
      </c>
      <c r="F57" s="354"/>
      <c r="G57" s="364" t="s">
        <v>462</v>
      </c>
      <c r="H57" s="198">
        <v>7331379.0</v>
      </c>
      <c r="I57" s="357"/>
      <c r="J57" s="357"/>
      <c r="K57" s="354"/>
      <c r="L57" s="171">
        <f t="shared" si="1"/>
        <v>7331379</v>
      </c>
      <c r="M57" s="354"/>
      <c r="N57" s="354"/>
      <c r="O57" s="354"/>
      <c r="P57" s="354"/>
      <c r="Q57" s="354"/>
      <c r="R57" s="354"/>
      <c r="S57" s="354"/>
      <c r="T57" s="354"/>
      <c r="U57" s="354"/>
      <c r="V57" s="354"/>
    </row>
    <row r="58">
      <c r="A58" s="168" t="s">
        <v>15</v>
      </c>
      <c r="B58" s="353" t="s">
        <v>463</v>
      </c>
      <c r="C58" s="353" t="s">
        <v>418</v>
      </c>
      <c r="D58" s="354"/>
      <c r="E58" s="356" t="s">
        <v>464</v>
      </c>
      <c r="F58" s="354"/>
      <c r="G58" s="361">
        <v>46290.0</v>
      </c>
      <c r="H58" s="198">
        <v>7859008.0</v>
      </c>
      <c r="I58" s="357"/>
      <c r="J58" s="357"/>
      <c r="K58" s="354"/>
      <c r="L58" s="171">
        <f t="shared" si="1"/>
        <v>7859008</v>
      </c>
      <c r="M58" s="354"/>
      <c r="N58" s="354"/>
      <c r="O58" s="354"/>
      <c r="P58" s="354"/>
      <c r="Q58" s="354"/>
      <c r="R58" s="354"/>
      <c r="S58" s="354"/>
      <c r="T58" s="354"/>
      <c r="U58" s="354"/>
      <c r="V58" s="354"/>
    </row>
    <row r="59">
      <c r="A59" s="168" t="s">
        <v>15</v>
      </c>
      <c r="B59" s="201" t="s">
        <v>129</v>
      </c>
      <c r="C59" s="167" t="s">
        <v>467</v>
      </c>
      <c r="D59" s="168" t="s">
        <v>131</v>
      </c>
      <c r="E59" s="168" t="s">
        <v>131</v>
      </c>
      <c r="F59" s="168"/>
      <c r="G59" s="369" t="s">
        <v>292</v>
      </c>
      <c r="H59" s="170">
        <v>1.1986097E7</v>
      </c>
      <c r="I59" s="171">
        <v>1000000.0</v>
      </c>
      <c r="J59" s="171"/>
      <c r="K59" s="171"/>
      <c r="L59" s="171">
        <f t="shared" si="1"/>
        <v>12986097</v>
      </c>
      <c r="M59" s="176">
        <v>1.4</v>
      </c>
      <c r="N59" s="171">
        <f t="shared" ref="N59:N60" si="10">L59*M59</f>
        <v>18180535.8</v>
      </c>
      <c r="O59" s="171" t="s">
        <v>362</v>
      </c>
      <c r="P59" s="171">
        <v>2.2E7</v>
      </c>
      <c r="Q59" s="171">
        <f t="shared" ref="Q59:Q60" si="11">P59-N59</f>
        <v>3819464.2</v>
      </c>
      <c r="R59" s="186">
        <f t="shared" ref="R59:R60" si="12">Q59/N59</f>
        <v>0.2100853485</v>
      </c>
      <c r="S59" s="235" t="str">
        <f t="shared" ref="S59:S60" si="13">IFS(
  R59&lt;=-0, "Min",
  R59&lt;=0.1, "Low",
  R59&lt;=0.2, "Middle",
  R59&lt;=0.4, "High",
  R59&gt;0.4, "Very High"
)</f>
        <v>High</v>
      </c>
      <c r="T59" s="176"/>
      <c r="U59" s="176"/>
      <c r="V59" s="176"/>
    </row>
    <row r="60">
      <c r="A60" s="176" t="s">
        <v>15</v>
      </c>
      <c r="B60" s="201" t="s">
        <v>107</v>
      </c>
      <c r="C60" s="167" t="s">
        <v>470</v>
      </c>
      <c r="D60" s="176" t="s">
        <v>315</v>
      </c>
      <c r="E60" s="176" t="s">
        <v>315</v>
      </c>
      <c r="F60" s="176"/>
      <c r="G60" s="373">
        <v>46413.0</v>
      </c>
      <c r="H60" s="170">
        <v>9000000.0</v>
      </c>
      <c r="I60" s="170">
        <v>1000000.0</v>
      </c>
      <c r="J60" s="204">
        <v>1000000.0</v>
      </c>
      <c r="K60" s="170"/>
      <c r="L60" s="171">
        <f t="shared" si="1"/>
        <v>11000000</v>
      </c>
      <c r="M60" s="176">
        <v>1.5</v>
      </c>
      <c r="N60" s="171">
        <f t="shared" si="10"/>
        <v>16500000</v>
      </c>
      <c r="O60" s="171" t="s">
        <v>439</v>
      </c>
      <c r="P60" s="171">
        <v>1.85E7</v>
      </c>
      <c r="Q60" s="171">
        <f t="shared" si="11"/>
        <v>2000000</v>
      </c>
      <c r="R60" s="186">
        <f t="shared" si="12"/>
        <v>0.1212121212</v>
      </c>
      <c r="S60" s="235" t="str">
        <f t="shared" si="13"/>
        <v>Middle</v>
      </c>
      <c r="T60" s="176"/>
      <c r="U60" s="176"/>
      <c r="V60" s="176"/>
    </row>
    <row r="61">
      <c r="A61" s="168" t="s">
        <v>15</v>
      </c>
      <c r="B61" s="287" t="s">
        <v>226</v>
      </c>
      <c r="C61" s="167" t="s">
        <v>470</v>
      </c>
      <c r="D61" s="354"/>
      <c r="E61" s="356" t="s">
        <v>131</v>
      </c>
      <c r="F61" s="354"/>
      <c r="G61" s="364" t="s">
        <v>472</v>
      </c>
      <c r="H61" s="198">
        <v>1.1851099E7</v>
      </c>
      <c r="I61" s="357"/>
      <c r="J61" s="198">
        <v>2000000.0</v>
      </c>
      <c r="K61" s="354"/>
      <c r="L61" s="171">
        <f t="shared" si="1"/>
        <v>13851099</v>
      </c>
      <c r="M61" s="354"/>
      <c r="N61" s="354"/>
      <c r="O61" s="354"/>
      <c r="P61" s="354"/>
      <c r="Q61" s="354"/>
      <c r="R61" s="354"/>
      <c r="S61" s="354"/>
      <c r="T61" s="354"/>
      <c r="U61" s="354"/>
      <c r="V61" s="354"/>
    </row>
    <row r="62">
      <c r="A62" s="168" t="s">
        <v>15</v>
      </c>
      <c r="B62" s="287" t="s">
        <v>228</v>
      </c>
      <c r="C62" s="167" t="s">
        <v>470</v>
      </c>
      <c r="D62" s="354"/>
      <c r="E62" s="356" t="s">
        <v>474</v>
      </c>
      <c r="F62" s="354"/>
      <c r="G62" s="358">
        <v>46331.0</v>
      </c>
      <c r="H62" s="198">
        <v>5442000.0</v>
      </c>
      <c r="I62" s="357"/>
      <c r="J62" s="357"/>
      <c r="K62" s="354"/>
      <c r="L62" s="171">
        <f t="shared" si="1"/>
        <v>5442000</v>
      </c>
      <c r="M62" s="354"/>
      <c r="N62" s="354"/>
      <c r="O62" s="354"/>
      <c r="P62" s="354"/>
      <c r="Q62" s="354"/>
      <c r="R62" s="354"/>
      <c r="S62" s="354"/>
      <c r="T62" s="354"/>
      <c r="U62" s="354"/>
      <c r="V62" s="354"/>
    </row>
    <row r="63">
      <c r="A63" s="168" t="s">
        <v>15</v>
      </c>
      <c r="B63" s="287" t="s">
        <v>230</v>
      </c>
      <c r="C63" s="353" t="s">
        <v>470</v>
      </c>
      <c r="D63" s="354"/>
      <c r="E63" s="356" t="s">
        <v>476</v>
      </c>
      <c r="F63" s="354"/>
      <c r="G63" s="376" t="s">
        <v>292</v>
      </c>
      <c r="H63" s="198">
        <v>9550000.0</v>
      </c>
      <c r="I63" s="357"/>
      <c r="J63" s="198">
        <v>1000000.0</v>
      </c>
      <c r="K63" s="354"/>
      <c r="L63" s="171">
        <f t="shared" si="1"/>
        <v>10550000</v>
      </c>
      <c r="M63" s="354"/>
      <c r="N63" s="354"/>
      <c r="O63" s="354"/>
      <c r="P63" s="354"/>
      <c r="Q63" s="354"/>
      <c r="R63" s="354"/>
      <c r="S63" s="354"/>
      <c r="T63" s="354"/>
      <c r="U63" s="354"/>
      <c r="V63" s="354"/>
    </row>
    <row r="64">
      <c r="A64" s="168" t="s">
        <v>15</v>
      </c>
      <c r="B64" s="378" t="s">
        <v>138</v>
      </c>
      <c r="C64" s="167" t="s">
        <v>477</v>
      </c>
      <c r="D64" s="168" t="s">
        <v>478</v>
      </c>
      <c r="E64" s="168" t="s">
        <v>479</v>
      </c>
      <c r="F64" s="168"/>
      <c r="G64" s="369">
        <v>46322.0</v>
      </c>
      <c r="H64" s="204">
        <v>6500000.0</v>
      </c>
      <c r="I64" s="171"/>
      <c r="J64" s="171"/>
      <c r="K64" s="171"/>
      <c r="L64" s="171">
        <f t="shared" si="1"/>
        <v>6500000</v>
      </c>
      <c r="M64" s="176">
        <v>1.4</v>
      </c>
      <c r="N64" s="171">
        <f t="shared" ref="N64:N66" si="14">L64*M64</f>
        <v>9100000</v>
      </c>
      <c r="O64" s="171" t="s">
        <v>362</v>
      </c>
      <c r="P64" s="171">
        <v>2.2E7</v>
      </c>
      <c r="Q64" s="171">
        <f t="shared" ref="Q64:Q66" si="15">P64-N64</f>
        <v>12900000</v>
      </c>
      <c r="R64" s="186">
        <f t="shared" ref="R64:R66" si="16">Q64/N64</f>
        <v>1.417582418</v>
      </c>
      <c r="S64" s="235" t="str">
        <f t="shared" ref="S64:S66" si="17">IFS(
  R64&lt;=-0, "Min",
  R64&lt;=0.1, "Low",
  R64&lt;=0.2, "Middle",
  R64&lt;=0.4, "High",
  R64&gt;0.4, "Very High"
)</f>
        <v>Very High</v>
      </c>
      <c r="T64" s="176"/>
      <c r="U64" s="176"/>
      <c r="V64" s="176"/>
    </row>
    <row r="65">
      <c r="A65" s="165" t="s">
        <v>10</v>
      </c>
      <c r="B65" s="378" t="s">
        <v>125</v>
      </c>
      <c r="C65" s="167" t="s">
        <v>477</v>
      </c>
      <c r="D65" s="168" t="s">
        <v>126</v>
      </c>
      <c r="E65" s="168" t="s">
        <v>126</v>
      </c>
      <c r="F65" s="168"/>
      <c r="G65" s="369" t="s">
        <v>292</v>
      </c>
      <c r="H65" s="170">
        <v>1.1986097E7</v>
      </c>
      <c r="I65" s="171">
        <v>1000000.0</v>
      </c>
      <c r="J65" s="171"/>
      <c r="K65" s="171"/>
      <c r="L65" s="171">
        <f t="shared" si="1"/>
        <v>12986097</v>
      </c>
      <c r="M65" s="176">
        <v>1.4</v>
      </c>
      <c r="N65" s="171">
        <f t="shared" si="14"/>
        <v>18180535.8</v>
      </c>
      <c r="O65" s="171" t="s">
        <v>362</v>
      </c>
      <c r="P65" s="171">
        <v>2.2E7</v>
      </c>
      <c r="Q65" s="171">
        <f t="shared" si="15"/>
        <v>3819464.2</v>
      </c>
      <c r="R65" s="186">
        <f t="shared" si="16"/>
        <v>0.2100853485</v>
      </c>
      <c r="S65" s="235" t="str">
        <f t="shared" si="17"/>
        <v>High</v>
      </c>
      <c r="T65" s="176"/>
      <c r="U65" s="176"/>
      <c r="V65" s="176"/>
    </row>
    <row r="66">
      <c r="A66" s="168" t="s">
        <v>15</v>
      </c>
      <c r="B66" s="378" t="s">
        <v>337</v>
      </c>
      <c r="C66" s="167" t="s">
        <v>477</v>
      </c>
      <c r="D66" s="168" t="s">
        <v>338</v>
      </c>
      <c r="E66" s="168" t="s">
        <v>338</v>
      </c>
      <c r="F66" s="168"/>
      <c r="G66" s="169">
        <v>46416.0</v>
      </c>
      <c r="H66" s="170">
        <v>1.1986097E7</v>
      </c>
      <c r="I66" s="171">
        <v>1000000.0</v>
      </c>
      <c r="J66" s="171"/>
      <c r="K66" s="171"/>
      <c r="L66" s="171">
        <f t="shared" si="1"/>
        <v>12986097</v>
      </c>
      <c r="M66" s="176">
        <v>1.4</v>
      </c>
      <c r="N66" s="171">
        <f t="shared" si="14"/>
        <v>18180535.8</v>
      </c>
      <c r="O66" s="171" t="s">
        <v>362</v>
      </c>
      <c r="P66" s="171">
        <v>2.2E7</v>
      </c>
      <c r="Q66" s="171">
        <f t="shared" si="15"/>
        <v>3819464.2</v>
      </c>
      <c r="R66" s="186">
        <f t="shared" si="16"/>
        <v>0.2100853485</v>
      </c>
      <c r="S66" s="235" t="str">
        <f t="shared" si="17"/>
        <v>High</v>
      </c>
      <c r="T66" s="176"/>
      <c r="U66" s="176"/>
      <c r="V66" s="176"/>
    </row>
    <row r="67">
      <c r="A67" s="168" t="s">
        <v>15</v>
      </c>
      <c r="B67" s="287" t="s">
        <v>215</v>
      </c>
      <c r="C67" s="167" t="s">
        <v>477</v>
      </c>
      <c r="D67" s="354"/>
      <c r="E67" s="356" t="s">
        <v>150</v>
      </c>
      <c r="F67" s="354"/>
      <c r="G67" s="356" t="s">
        <v>292</v>
      </c>
      <c r="H67" s="198">
        <v>9289722.0</v>
      </c>
      <c r="I67" s="357"/>
      <c r="J67" s="357"/>
      <c r="K67" s="354"/>
      <c r="L67" s="171">
        <f t="shared" si="1"/>
        <v>9289722</v>
      </c>
      <c r="M67" s="354"/>
      <c r="N67" s="354"/>
      <c r="O67" s="354"/>
      <c r="P67" s="354"/>
      <c r="Q67" s="354"/>
      <c r="R67" s="354"/>
      <c r="S67" s="354"/>
      <c r="T67" s="354"/>
      <c r="U67" s="354"/>
      <c r="V67" s="354"/>
    </row>
    <row r="68">
      <c r="A68" s="168" t="s">
        <v>15</v>
      </c>
      <c r="B68" s="303" t="s">
        <v>216</v>
      </c>
      <c r="C68" s="167" t="s">
        <v>477</v>
      </c>
      <c r="D68" s="354"/>
      <c r="E68" s="356" t="s">
        <v>482</v>
      </c>
      <c r="F68" s="354"/>
      <c r="G68" s="376" t="s">
        <v>292</v>
      </c>
      <c r="H68" s="198">
        <v>8414368.0</v>
      </c>
      <c r="I68" s="357"/>
      <c r="J68" s="357"/>
      <c r="K68" s="354"/>
      <c r="L68" s="171">
        <f t="shared" si="1"/>
        <v>8414368</v>
      </c>
      <c r="M68" s="354"/>
      <c r="N68" s="354"/>
      <c r="O68" s="354"/>
      <c r="P68" s="354"/>
      <c r="Q68" s="354"/>
      <c r="R68" s="354"/>
      <c r="S68" s="354"/>
      <c r="T68" s="354"/>
      <c r="U68" s="354"/>
      <c r="V68" s="354"/>
    </row>
    <row r="69">
      <c r="A69" s="168" t="s">
        <v>15</v>
      </c>
      <c r="B69" s="303" t="s">
        <v>217</v>
      </c>
      <c r="C69" s="167" t="s">
        <v>477</v>
      </c>
      <c r="D69" s="354"/>
      <c r="E69" s="356" t="s">
        <v>456</v>
      </c>
      <c r="F69" s="354"/>
      <c r="G69" s="361">
        <v>46402.0</v>
      </c>
      <c r="H69" s="198">
        <v>7335074.0</v>
      </c>
      <c r="I69" s="357"/>
      <c r="J69" s="357"/>
      <c r="K69" s="354"/>
      <c r="L69" s="171">
        <f t="shared" si="1"/>
        <v>7335074</v>
      </c>
      <c r="M69" s="354"/>
      <c r="N69" s="354"/>
      <c r="O69" s="354"/>
      <c r="P69" s="354"/>
      <c r="Q69" s="354"/>
      <c r="R69" s="354"/>
      <c r="S69" s="354"/>
      <c r="T69" s="354"/>
      <c r="U69" s="354"/>
      <c r="V69" s="354"/>
    </row>
    <row r="70">
      <c r="A70" s="168" t="s">
        <v>15</v>
      </c>
      <c r="B70" s="378" t="s">
        <v>135</v>
      </c>
      <c r="C70" s="167" t="s">
        <v>486</v>
      </c>
      <c r="D70" s="168" t="s">
        <v>131</v>
      </c>
      <c r="E70" s="168" t="s">
        <v>131</v>
      </c>
      <c r="F70" s="168"/>
      <c r="G70" s="369">
        <v>46393.0</v>
      </c>
      <c r="H70" s="204">
        <v>9482748.0</v>
      </c>
      <c r="I70" s="171">
        <v>1000000.0</v>
      </c>
      <c r="J70" s="171"/>
      <c r="K70" s="171"/>
      <c r="L70" s="171">
        <f t="shared" si="1"/>
        <v>10482748</v>
      </c>
      <c r="M70" s="176">
        <v>1.4</v>
      </c>
      <c r="N70" s="171">
        <f>L70*M70</f>
        <v>14675847.2</v>
      </c>
      <c r="O70" s="171" t="s">
        <v>362</v>
      </c>
      <c r="P70" s="171">
        <v>2.2E7</v>
      </c>
      <c r="Q70" s="171">
        <f>P70-N70</f>
        <v>7324152.8</v>
      </c>
      <c r="R70" s="186">
        <f>Q70/N70</f>
        <v>0.4990616692</v>
      </c>
      <c r="S70" s="235" t="str">
        <f>IFS(
  R70&lt;=-0, "Min",
  R70&lt;=0.1, "Low",
  R70&lt;=0.2, "Middle",
  R70&lt;=0.4, "High",
  R70&gt;0.4, "Very High"
)</f>
        <v>Very High</v>
      </c>
      <c r="T70" s="176"/>
      <c r="U70" s="176"/>
      <c r="V70" s="176"/>
    </row>
    <row r="71">
      <c r="A71" s="168" t="s">
        <v>15</v>
      </c>
      <c r="B71" s="287" t="s">
        <v>232</v>
      </c>
      <c r="C71" s="353" t="s">
        <v>486</v>
      </c>
      <c r="D71" s="354"/>
      <c r="E71" s="376" t="s">
        <v>233</v>
      </c>
      <c r="F71" s="354"/>
      <c r="G71" s="344">
        <v>46330.0</v>
      </c>
      <c r="H71" s="198">
        <v>5442000.0</v>
      </c>
      <c r="I71" s="357"/>
      <c r="J71" s="357"/>
      <c r="K71" s="354"/>
      <c r="L71" s="171">
        <f t="shared" si="1"/>
        <v>5442000</v>
      </c>
      <c r="M71" s="354"/>
      <c r="N71" s="354"/>
      <c r="O71" s="354"/>
      <c r="P71" s="354"/>
      <c r="Q71" s="354"/>
      <c r="R71" s="354"/>
      <c r="S71" s="354"/>
      <c r="T71" s="354"/>
      <c r="U71" s="354"/>
      <c r="V71" s="354"/>
    </row>
    <row r="72">
      <c r="A72" s="168" t="s">
        <v>15</v>
      </c>
      <c r="B72" s="234" t="s">
        <v>488</v>
      </c>
      <c r="C72" s="353" t="s">
        <v>486</v>
      </c>
      <c r="D72" s="354"/>
      <c r="E72" s="356" t="s">
        <v>489</v>
      </c>
      <c r="F72" s="354"/>
      <c r="G72" s="376" t="s">
        <v>292</v>
      </c>
      <c r="H72" s="198">
        <v>1.194249E7</v>
      </c>
      <c r="I72" s="357"/>
      <c r="J72" s="357"/>
      <c r="K72" s="354"/>
      <c r="L72" s="171">
        <f t="shared" si="1"/>
        <v>11942490</v>
      </c>
      <c r="M72" s="354"/>
      <c r="N72" s="354"/>
      <c r="O72" s="354"/>
      <c r="P72" s="354"/>
      <c r="Q72" s="354"/>
      <c r="R72" s="354"/>
      <c r="S72" s="354"/>
      <c r="T72" s="354"/>
      <c r="U72" s="354"/>
      <c r="V72" s="354"/>
    </row>
    <row r="73">
      <c r="A73" s="165" t="s">
        <v>10</v>
      </c>
      <c r="B73" s="167" t="s">
        <v>89</v>
      </c>
      <c r="C73" s="167" t="s">
        <v>490</v>
      </c>
      <c r="D73" s="165" t="s">
        <v>305</v>
      </c>
      <c r="E73" s="165" t="s">
        <v>90</v>
      </c>
      <c r="F73" s="165"/>
      <c r="G73" s="388" t="s">
        <v>292</v>
      </c>
      <c r="H73" s="170">
        <v>8926054.0</v>
      </c>
      <c r="I73" s="171">
        <v>1000000.0</v>
      </c>
      <c r="J73" s="389">
        <v>1500000.0</v>
      </c>
      <c r="K73" s="171"/>
      <c r="L73" s="171">
        <f t="shared" si="1"/>
        <v>11426054</v>
      </c>
      <c r="M73" s="176">
        <v>1.4</v>
      </c>
      <c r="N73" s="171">
        <f>L73*M73</f>
        <v>15996475.6</v>
      </c>
      <c r="O73" s="171">
        <v>2.26E7</v>
      </c>
      <c r="P73" s="171">
        <v>1.8288E7</v>
      </c>
      <c r="Q73" s="171">
        <f>P73-N73</f>
        <v>2291524.4</v>
      </c>
      <c r="R73" s="186">
        <f>Q73/N73</f>
        <v>0.1432518298</v>
      </c>
      <c r="S73" s="326" t="str">
        <f>IFS(
  R73&lt;=-0, "Min",
  R73&lt;=0.1, "Low",
  R73&lt;=0.2, "Middle",
  R73&lt;=0.4, "High",
  R73&gt;0.4, "Very High"
)</f>
        <v>Middle</v>
      </c>
      <c r="T73" s="176"/>
      <c r="U73" s="176"/>
      <c r="V73" s="176"/>
    </row>
    <row r="89">
      <c r="B89" s="70" t="s">
        <v>428</v>
      </c>
      <c r="H89" s="392">
        <v>1.29366E7</v>
      </c>
      <c r="I89" s="393"/>
    </row>
    <row r="90">
      <c r="B90" s="70" t="s">
        <v>400</v>
      </c>
      <c r="H90" s="392">
        <v>1.1851099E7</v>
      </c>
      <c r="I90" s="392"/>
      <c r="J90" s="392">
        <v>2000000.0</v>
      </c>
    </row>
    <row r="91">
      <c r="B91" s="70" t="s">
        <v>429</v>
      </c>
      <c r="H91" s="392">
        <v>5442000.0</v>
      </c>
      <c r="I91" s="393"/>
    </row>
    <row r="92">
      <c r="B92" s="70" t="s">
        <v>430</v>
      </c>
      <c r="H92" s="392">
        <v>6792538.0</v>
      </c>
      <c r="I92" s="393"/>
    </row>
    <row r="93">
      <c r="B93" s="70" t="s">
        <v>431</v>
      </c>
      <c r="H93" s="392">
        <v>7859008.0</v>
      </c>
      <c r="I93" s="393"/>
    </row>
    <row r="94">
      <c r="B94" s="70" t="s">
        <v>432</v>
      </c>
      <c r="H94" s="392">
        <v>9482748.0</v>
      </c>
      <c r="I94" s="393"/>
    </row>
    <row r="95">
      <c r="B95" s="2" t="s">
        <v>433</v>
      </c>
      <c r="H95" s="2" t="s">
        <v>492</v>
      </c>
    </row>
  </sheetData>
  <autoFilter ref="$A$1:$V$980">
    <sortState ref="A1:V980">
      <sortCondition ref="C1:C980"/>
    </sortState>
  </autoFil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34.25"/>
    <col customWidth="1" min="3" max="3" width="17.75"/>
    <col customWidth="1" min="4" max="4" width="27.75"/>
    <col customWidth="1" min="5" max="5" width="23.5"/>
    <col customWidth="1" min="6" max="6" width="19.38"/>
    <col customWidth="1" min="7" max="7" width="28.38"/>
  </cols>
  <sheetData>
    <row r="1">
      <c r="A1" s="162" t="s">
        <v>2</v>
      </c>
      <c r="B1" s="162" t="s">
        <v>238</v>
      </c>
      <c r="C1" s="162" t="s">
        <v>248</v>
      </c>
      <c r="D1" s="163" t="s">
        <v>251</v>
      </c>
      <c r="E1" s="164" t="s">
        <v>3</v>
      </c>
      <c r="F1" s="162" t="s">
        <v>242</v>
      </c>
      <c r="G1" s="164" t="s">
        <v>258</v>
      </c>
    </row>
    <row r="2">
      <c r="A2" s="172" t="s">
        <v>10</v>
      </c>
      <c r="B2" s="173" t="s">
        <v>262</v>
      </c>
      <c r="C2" s="174" t="s">
        <v>263</v>
      </c>
      <c r="D2" s="172" t="s">
        <v>264</v>
      </c>
      <c r="E2" s="172" t="s">
        <v>265</v>
      </c>
      <c r="F2" s="175">
        <v>46176.0</v>
      </c>
      <c r="G2" s="177" t="s">
        <v>266</v>
      </c>
    </row>
    <row r="3">
      <c r="A3" s="172" t="s">
        <v>15</v>
      </c>
      <c r="B3" s="173" t="s">
        <v>31</v>
      </c>
      <c r="C3" s="174" t="s">
        <v>263</v>
      </c>
      <c r="D3" s="172" t="s">
        <v>264</v>
      </c>
      <c r="E3" s="172" t="s">
        <v>265</v>
      </c>
      <c r="F3" s="178" t="s">
        <v>267</v>
      </c>
      <c r="G3" s="177" t="s">
        <v>266</v>
      </c>
    </row>
    <row r="4">
      <c r="A4" s="172" t="s">
        <v>10</v>
      </c>
      <c r="B4" s="173" t="s">
        <v>24</v>
      </c>
      <c r="C4" s="174" t="s">
        <v>263</v>
      </c>
      <c r="D4" s="172" t="s">
        <v>268</v>
      </c>
      <c r="E4" s="172" t="s">
        <v>25</v>
      </c>
      <c r="F4" s="179" t="s">
        <v>269</v>
      </c>
      <c r="G4" s="180">
        <v>46113.0</v>
      </c>
    </row>
    <row r="5">
      <c r="A5" s="172" t="s">
        <v>10</v>
      </c>
      <c r="B5" s="173" t="s">
        <v>270</v>
      </c>
      <c r="C5" s="174" t="s">
        <v>263</v>
      </c>
      <c r="D5" s="172" t="s">
        <v>268</v>
      </c>
      <c r="E5" s="172" t="s">
        <v>25</v>
      </c>
      <c r="F5" s="178" t="s">
        <v>271</v>
      </c>
      <c r="G5" s="180">
        <v>46113.0</v>
      </c>
    </row>
    <row r="6">
      <c r="A6" s="172" t="s">
        <v>15</v>
      </c>
      <c r="B6" s="181" t="s">
        <v>76</v>
      </c>
      <c r="C6" s="173" t="s">
        <v>272</v>
      </c>
      <c r="D6" s="172" t="s">
        <v>273</v>
      </c>
      <c r="E6" s="172" t="s">
        <v>274</v>
      </c>
      <c r="F6" s="175">
        <v>46299.0</v>
      </c>
      <c r="G6" s="182" t="s">
        <v>275</v>
      </c>
    </row>
    <row r="7">
      <c r="A7" s="172" t="s">
        <v>15</v>
      </c>
      <c r="B7" s="173" t="s">
        <v>276</v>
      </c>
      <c r="C7" s="173" t="s">
        <v>272</v>
      </c>
      <c r="D7" s="183" t="s">
        <v>277</v>
      </c>
      <c r="E7" s="183" t="s">
        <v>278</v>
      </c>
      <c r="F7" s="184">
        <v>46320.0</v>
      </c>
      <c r="G7" s="180">
        <v>46174.0</v>
      </c>
    </row>
    <row r="8">
      <c r="A8" s="172" t="s">
        <v>15</v>
      </c>
      <c r="B8" s="173" t="s">
        <v>75</v>
      </c>
      <c r="C8" s="173" t="s">
        <v>272</v>
      </c>
      <c r="D8" s="172" t="s">
        <v>279</v>
      </c>
      <c r="E8" s="172" t="s">
        <v>274</v>
      </c>
      <c r="F8" s="178">
        <v>46214.0</v>
      </c>
      <c r="G8" s="182" t="s">
        <v>275</v>
      </c>
    </row>
    <row r="9">
      <c r="A9" s="172" t="s">
        <v>10</v>
      </c>
      <c r="B9" s="173" t="s">
        <v>71</v>
      </c>
      <c r="C9" s="173" t="s">
        <v>272</v>
      </c>
      <c r="D9" s="172" t="s">
        <v>280</v>
      </c>
      <c r="E9" s="172" t="s">
        <v>274</v>
      </c>
      <c r="F9" s="178">
        <v>46233.0</v>
      </c>
      <c r="G9" s="185">
        <v>46396.0</v>
      </c>
    </row>
    <row r="10">
      <c r="A10" s="172" t="s">
        <v>10</v>
      </c>
      <c r="B10" s="173" t="s">
        <v>85</v>
      </c>
      <c r="C10" s="173" t="s">
        <v>272</v>
      </c>
      <c r="D10" s="183" t="s">
        <v>277</v>
      </c>
      <c r="E10" s="183" t="s">
        <v>278</v>
      </c>
      <c r="F10" s="175">
        <v>46189.0</v>
      </c>
      <c r="G10" s="180">
        <v>46174.0</v>
      </c>
    </row>
    <row r="11">
      <c r="A11" s="172" t="s">
        <v>10</v>
      </c>
      <c r="B11" s="173" t="s">
        <v>281</v>
      </c>
      <c r="C11" s="173" t="s">
        <v>282</v>
      </c>
      <c r="D11" s="172" t="s">
        <v>280</v>
      </c>
      <c r="E11" s="172" t="s">
        <v>283</v>
      </c>
      <c r="F11" s="175">
        <v>46239.0</v>
      </c>
      <c r="G11" s="185">
        <v>46396.0</v>
      </c>
    </row>
    <row r="12">
      <c r="A12" s="172" t="s">
        <v>15</v>
      </c>
      <c r="B12" s="173" t="s">
        <v>284</v>
      </c>
      <c r="C12" s="173" t="s">
        <v>285</v>
      </c>
      <c r="D12" s="172" t="s">
        <v>111</v>
      </c>
      <c r="E12" s="172" t="s">
        <v>286</v>
      </c>
      <c r="F12" s="175">
        <v>46188.0</v>
      </c>
      <c r="G12" s="180">
        <v>46204.0</v>
      </c>
    </row>
    <row r="13">
      <c r="A13" s="172" t="s">
        <v>15</v>
      </c>
      <c r="B13" s="173" t="s">
        <v>116</v>
      </c>
      <c r="C13" s="173" t="s">
        <v>285</v>
      </c>
      <c r="D13" s="172" t="s">
        <v>287</v>
      </c>
      <c r="E13" s="172" t="s">
        <v>19</v>
      </c>
      <c r="F13" s="178">
        <v>46226.0</v>
      </c>
      <c r="G13" s="180">
        <v>46204.0</v>
      </c>
    </row>
    <row r="14">
      <c r="A14" s="172" t="s">
        <v>10</v>
      </c>
      <c r="B14" s="187" t="s">
        <v>119</v>
      </c>
      <c r="C14" s="173" t="s">
        <v>285</v>
      </c>
      <c r="D14" s="172" t="s">
        <v>111</v>
      </c>
      <c r="E14" s="188" t="s">
        <v>288</v>
      </c>
      <c r="F14" s="178">
        <v>46234.0</v>
      </c>
      <c r="G14" s="180">
        <v>46204.0</v>
      </c>
    </row>
    <row r="15">
      <c r="A15" s="172" t="s">
        <v>10</v>
      </c>
      <c r="B15" s="189" t="s">
        <v>120</v>
      </c>
      <c r="C15" s="173" t="s">
        <v>285</v>
      </c>
      <c r="D15" s="172" t="s">
        <v>287</v>
      </c>
      <c r="E15" s="172" t="s">
        <v>289</v>
      </c>
      <c r="F15" s="178">
        <v>46234.0</v>
      </c>
      <c r="G15" s="180">
        <v>46204.0</v>
      </c>
    </row>
    <row r="16">
      <c r="A16" s="172" t="s">
        <v>10</v>
      </c>
      <c r="B16" s="189" t="s">
        <v>121</v>
      </c>
      <c r="C16" s="173" t="s">
        <v>285</v>
      </c>
      <c r="D16" s="172" t="s">
        <v>287</v>
      </c>
      <c r="E16" s="172" t="s">
        <v>289</v>
      </c>
      <c r="F16" s="178">
        <v>46234.0</v>
      </c>
      <c r="G16" s="180">
        <v>46204.0</v>
      </c>
    </row>
    <row r="17">
      <c r="A17" s="172" t="s">
        <v>15</v>
      </c>
      <c r="B17" s="173" t="s">
        <v>290</v>
      </c>
      <c r="C17" s="173" t="s">
        <v>285</v>
      </c>
      <c r="D17" s="172" t="s">
        <v>111</v>
      </c>
      <c r="E17" s="172" t="s">
        <v>291</v>
      </c>
      <c r="F17" s="178" t="s">
        <v>292</v>
      </c>
      <c r="G17" s="180">
        <v>46204.0</v>
      </c>
    </row>
    <row r="18">
      <c r="A18" s="172" t="s">
        <v>10</v>
      </c>
      <c r="B18" s="190" t="s">
        <v>122</v>
      </c>
      <c r="C18" s="190" t="s">
        <v>285</v>
      </c>
      <c r="D18" s="191" t="s">
        <v>111</v>
      </c>
      <c r="E18" s="193" t="s">
        <v>288</v>
      </c>
      <c r="F18" s="194" t="s">
        <v>292</v>
      </c>
      <c r="G18" s="195">
        <v>46204.0</v>
      </c>
    </row>
    <row r="19">
      <c r="A19" s="172" t="s">
        <v>10</v>
      </c>
      <c r="B19" s="173" t="s">
        <v>80</v>
      </c>
      <c r="C19" s="174" t="s">
        <v>294</v>
      </c>
      <c r="D19" s="172" t="s">
        <v>295</v>
      </c>
      <c r="E19" s="172" t="s">
        <v>296</v>
      </c>
      <c r="F19" s="178">
        <v>46241.0</v>
      </c>
      <c r="G19" s="180">
        <v>46143.0</v>
      </c>
    </row>
    <row r="20">
      <c r="A20" s="172" t="s">
        <v>10</v>
      </c>
      <c r="B20" s="197" t="s">
        <v>145</v>
      </c>
      <c r="C20" s="174" t="s">
        <v>297</v>
      </c>
      <c r="D20" s="183" t="s">
        <v>298</v>
      </c>
      <c r="E20" s="183" t="s">
        <v>299</v>
      </c>
      <c r="F20" s="199">
        <v>46199.0</v>
      </c>
      <c r="G20" s="177" t="s">
        <v>300</v>
      </c>
    </row>
    <row r="21">
      <c r="A21" s="172" t="s">
        <v>10</v>
      </c>
      <c r="B21" s="197" t="s">
        <v>149</v>
      </c>
      <c r="C21" s="174" t="s">
        <v>297</v>
      </c>
      <c r="D21" s="183" t="s">
        <v>298</v>
      </c>
      <c r="E21" s="183" t="s">
        <v>302</v>
      </c>
      <c r="F21" s="199">
        <v>46199.0</v>
      </c>
      <c r="G21" s="177" t="s">
        <v>300</v>
      </c>
    </row>
    <row r="22">
      <c r="A22" s="172" t="s">
        <v>10</v>
      </c>
      <c r="B22" s="174" t="s">
        <v>303</v>
      </c>
      <c r="C22" s="173" t="s">
        <v>304</v>
      </c>
      <c r="D22" s="172" t="s">
        <v>305</v>
      </c>
      <c r="E22" s="172" t="s">
        <v>90</v>
      </c>
      <c r="F22" s="175">
        <v>46136.0</v>
      </c>
      <c r="G22" s="180">
        <v>46113.0</v>
      </c>
    </row>
    <row r="23">
      <c r="A23" s="172" t="s">
        <v>10</v>
      </c>
      <c r="B23" s="174" t="s">
        <v>306</v>
      </c>
      <c r="C23" s="173" t="s">
        <v>304</v>
      </c>
      <c r="D23" s="172" t="s">
        <v>305</v>
      </c>
      <c r="E23" s="172" t="s">
        <v>90</v>
      </c>
      <c r="F23" s="178">
        <v>46076.0</v>
      </c>
      <c r="G23" s="180">
        <v>46113.0</v>
      </c>
    </row>
    <row r="24">
      <c r="A24" s="172" t="s">
        <v>10</v>
      </c>
      <c r="B24" s="174" t="s">
        <v>307</v>
      </c>
      <c r="C24" s="173" t="s">
        <v>304</v>
      </c>
      <c r="D24" s="172" t="s">
        <v>305</v>
      </c>
      <c r="E24" s="172" t="s">
        <v>90</v>
      </c>
      <c r="F24" s="175">
        <v>46136.0</v>
      </c>
      <c r="G24" s="180">
        <v>46113.0</v>
      </c>
    </row>
    <row r="25">
      <c r="A25" s="172" t="s">
        <v>15</v>
      </c>
      <c r="B25" s="174" t="s">
        <v>308</v>
      </c>
      <c r="C25" s="173" t="s">
        <v>304</v>
      </c>
      <c r="D25" s="172" t="s">
        <v>305</v>
      </c>
      <c r="E25" s="172" t="s">
        <v>90</v>
      </c>
      <c r="F25" s="175">
        <v>46268.0</v>
      </c>
      <c r="G25" s="180">
        <v>46113.0</v>
      </c>
    </row>
    <row r="26">
      <c r="A26" s="172" t="s">
        <v>10</v>
      </c>
      <c r="B26" s="173" t="s">
        <v>94</v>
      </c>
      <c r="C26" s="173" t="s">
        <v>304</v>
      </c>
      <c r="D26" s="172" t="s">
        <v>305</v>
      </c>
      <c r="E26" s="172" t="s">
        <v>90</v>
      </c>
      <c r="F26" s="178">
        <v>46217.0</v>
      </c>
      <c r="G26" s="180">
        <v>46113.0</v>
      </c>
    </row>
    <row r="27">
      <c r="A27" s="172" t="s">
        <v>10</v>
      </c>
      <c r="B27" s="187" t="s">
        <v>309</v>
      </c>
      <c r="C27" s="173" t="s">
        <v>304</v>
      </c>
      <c r="D27" s="172" t="s">
        <v>305</v>
      </c>
      <c r="E27" s="172" t="s">
        <v>311</v>
      </c>
      <c r="F27" s="178">
        <v>46235.0</v>
      </c>
      <c r="G27" s="180">
        <v>46174.0</v>
      </c>
    </row>
    <row r="28">
      <c r="A28" s="172" t="s">
        <v>10</v>
      </c>
      <c r="B28" s="173" t="s">
        <v>87</v>
      </c>
      <c r="C28" s="173" t="s">
        <v>304</v>
      </c>
      <c r="D28" s="172" t="s">
        <v>305</v>
      </c>
      <c r="E28" s="172" t="s">
        <v>312</v>
      </c>
      <c r="F28" s="178" t="s">
        <v>292</v>
      </c>
      <c r="G28" s="180">
        <v>46174.0</v>
      </c>
    </row>
    <row r="29">
      <c r="A29" s="203" t="s">
        <v>15</v>
      </c>
      <c r="B29" s="205" t="s">
        <v>107</v>
      </c>
      <c r="C29" s="173" t="s">
        <v>313</v>
      </c>
      <c r="D29" s="203" t="s">
        <v>315</v>
      </c>
      <c r="E29" s="203" t="s">
        <v>315</v>
      </c>
      <c r="F29" s="206">
        <v>46413.0</v>
      </c>
      <c r="G29" s="180">
        <v>46174.0</v>
      </c>
    </row>
    <row r="30">
      <c r="A30" s="172" t="s">
        <v>10</v>
      </c>
      <c r="B30" s="197" t="s">
        <v>316</v>
      </c>
      <c r="C30" s="174" t="s">
        <v>317</v>
      </c>
      <c r="D30" s="183" t="s">
        <v>318</v>
      </c>
      <c r="E30" s="183" t="s">
        <v>318</v>
      </c>
      <c r="F30" s="199">
        <v>46199.0</v>
      </c>
      <c r="G30" s="180">
        <v>46357.0</v>
      </c>
    </row>
    <row r="31">
      <c r="A31" s="172" t="s">
        <v>10</v>
      </c>
      <c r="B31" s="173" t="s">
        <v>66</v>
      </c>
      <c r="C31" s="173" t="s">
        <v>319</v>
      </c>
      <c r="D31" s="207" t="s">
        <v>320</v>
      </c>
      <c r="E31" s="207" t="s">
        <v>52</v>
      </c>
      <c r="F31" s="175">
        <v>46237.0</v>
      </c>
      <c r="G31" s="177" t="s">
        <v>321</v>
      </c>
    </row>
    <row r="32">
      <c r="A32" s="172" t="s">
        <v>10</v>
      </c>
      <c r="B32" s="173" t="s">
        <v>56</v>
      </c>
      <c r="C32" s="173" t="s">
        <v>319</v>
      </c>
      <c r="D32" s="207" t="s">
        <v>320</v>
      </c>
      <c r="E32" s="207" t="s">
        <v>52</v>
      </c>
      <c r="F32" s="209">
        <v>46278.0</v>
      </c>
      <c r="G32" s="177" t="s">
        <v>321</v>
      </c>
    </row>
    <row r="33">
      <c r="A33" s="172" t="s">
        <v>10</v>
      </c>
      <c r="B33" s="173" t="s">
        <v>57</v>
      </c>
      <c r="C33" s="173" t="s">
        <v>319</v>
      </c>
      <c r="D33" s="207" t="s">
        <v>320</v>
      </c>
      <c r="E33" s="207" t="s">
        <v>52</v>
      </c>
      <c r="F33" s="210">
        <v>46100.0</v>
      </c>
      <c r="G33" s="177" t="s">
        <v>321</v>
      </c>
    </row>
    <row r="34">
      <c r="A34" s="172" t="s">
        <v>10</v>
      </c>
      <c r="B34" s="211" t="s">
        <v>58</v>
      </c>
      <c r="C34" s="173" t="s">
        <v>319</v>
      </c>
      <c r="D34" s="207" t="s">
        <v>320</v>
      </c>
      <c r="E34" s="207" t="s">
        <v>52</v>
      </c>
      <c r="F34" s="210">
        <v>46121.0</v>
      </c>
      <c r="G34" s="177" t="s">
        <v>321</v>
      </c>
    </row>
    <row r="35">
      <c r="A35" s="172" t="s">
        <v>10</v>
      </c>
      <c r="B35" s="181" t="s">
        <v>67</v>
      </c>
      <c r="C35" s="173" t="s">
        <v>319</v>
      </c>
      <c r="D35" s="207" t="s">
        <v>320</v>
      </c>
      <c r="E35" s="207" t="s">
        <v>52</v>
      </c>
      <c r="F35" s="178">
        <v>46121.0</v>
      </c>
      <c r="G35" s="177" t="s">
        <v>321</v>
      </c>
    </row>
    <row r="36">
      <c r="A36" s="172" t="s">
        <v>10</v>
      </c>
      <c r="B36" s="181" t="s">
        <v>64</v>
      </c>
      <c r="C36" s="173" t="s">
        <v>319</v>
      </c>
      <c r="D36" s="207" t="s">
        <v>320</v>
      </c>
      <c r="E36" s="207" t="s">
        <v>52</v>
      </c>
      <c r="F36" s="178">
        <v>46211.0</v>
      </c>
      <c r="G36" s="177" t="s">
        <v>321</v>
      </c>
    </row>
    <row r="37">
      <c r="A37" s="172" t="s">
        <v>10</v>
      </c>
      <c r="B37" s="173" t="s">
        <v>65</v>
      </c>
      <c r="C37" s="173" t="s">
        <v>319</v>
      </c>
      <c r="D37" s="207" t="s">
        <v>320</v>
      </c>
      <c r="E37" s="207" t="s">
        <v>52</v>
      </c>
      <c r="F37" s="178">
        <v>46216.0</v>
      </c>
      <c r="G37" s="177" t="s">
        <v>321</v>
      </c>
    </row>
    <row r="38">
      <c r="A38" s="172" t="s">
        <v>10</v>
      </c>
      <c r="B38" s="181" t="s">
        <v>325</v>
      </c>
      <c r="C38" s="173" t="s">
        <v>319</v>
      </c>
      <c r="D38" s="207" t="s">
        <v>320</v>
      </c>
      <c r="E38" s="207" t="s">
        <v>52</v>
      </c>
      <c r="F38" s="178">
        <v>46223.0</v>
      </c>
      <c r="G38" s="177" t="s">
        <v>321</v>
      </c>
    </row>
    <row r="39">
      <c r="A39" s="172" t="s">
        <v>10</v>
      </c>
      <c r="B39" s="173" t="s">
        <v>326</v>
      </c>
      <c r="C39" s="173" t="s">
        <v>319</v>
      </c>
      <c r="D39" s="207" t="s">
        <v>320</v>
      </c>
      <c r="E39" s="207" t="s">
        <v>52</v>
      </c>
      <c r="F39" s="178">
        <v>46246.0</v>
      </c>
      <c r="G39" s="177" t="s">
        <v>321</v>
      </c>
    </row>
    <row r="40">
      <c r="A40" s="172" t="s">
        <v>10</v>
      </c>
      <c r="B40" s="181" t="s">
        <v>62</v>
      </c>
      <c r="C40" s="173" t="s">
        <v>319</v>
      </c>
      <c r="D40" s="207" t="s">
        <v>320</v>
      </c>
      <c r="E40" s="207" t="s">
        <v>52</v>
      </c>
      <c r="F40" s="178">
        <v>46382.0</v>
      </c>
      <c r="G40" s="177" t="s">
        <v>321</v>
      </c>
    </row>
    <row r="41">
      <c r="A41" s="172" t="s">
        <v>10</v>
      </c>
      <c r="B41" s="173" t="s">
        <v>61</v>
      </c>
      <c r="C41" s="173" t="s">
        <v>319</v>
      </c>
      <c r="D41" s="207" t="s">
        <v>320</v>
      </c>
      <c r="E41" s="207" t="s">
        <v>52</v>
      </c>
      <c r="F41" s="210" t="s">
        <v>327</v>
      </c>
      <c r="G41" s="177" t="s">
        <v>321</v>
      </c>
    </row>
    <row r="42">
      <c r="A42" s="172" t="s">
        <v>10</v>
      </c>
      <c r="B42" s="174" t="s">
        <v>328</v>
      </c>
      <c r="C42" s="173" t="s">
        <v>319</v>
      </c>
      <c r="D42" s="207" t="s">
        <v>320</v>
      </c>
      <c r="E42" s="215" t="s">
        <v>329</v>
      </c>
      <c r="F42" s="210" t="s">
        <v>327</v>
      </c>
      <c r="G42" s="177" t="s">
        <v>321</v>
      </c>
    </row>
    <row r="43">
      <c r="A43" s="172" t="s">
        <v>10</v>
      </c>
      <c r="B43" s="197" t="s">
        <v>330</v>
      </c>
      <c r="C43" s="174" t="s">
        <v>331</v>
      </c>
      <c r="D43" s="183" t="s">
        <v>332</v>
      </c>
      <c r="E43" s="183" t="s">
        <v>131</v>
      </c>
      <c r="F43" s="199" t="s">
        <v>292</v>
      </c>
      <c r="G43" s="180">
        <v>46357.0</v>
      </c>
    </row>
    <row r="44">
      <c r="A44" s="172" t="s">
        <v>10</v>
      </c>
      <c r="B44" s="197" t="s">
        <v>334</v>
      </c>
      <c r="C44" s="174" t="s">
        <v>331</v>
      </c>
      <c r="D44" s="183" t="s">
        <v>335</v>
      </c>
      <c r="E44" s="183" t="s">
        <v>126</v>
      </c>
      <c r="F44" s="199" t="s">
        <v>292</v>
      </c>
      <c r="G44" s="180">
        <v>46357.0</v>
      </c>
    </row>
    <row r="45">
      <c r="A45" s="172" t="s">
        <v>10</v>
      </c>
      <c r="B45" s="197" t="s">
        <v>130</v>
      </c>
      <c r="C45" s="174" t="s">
        <v>331</v>
      </c>
      <c r="D45" s="183" t="s">
        <v>335</v>
      </c>
      <c r="E45" s="183" t="s">
        <v>126</v>
      </c>
      <c r="F45" s="199" t="s">
        <v>292</v>
      </c>
      <c r="G45" s="180">
        <v>46357.0</v>
      </c>
    </row>
    <row r="46">
      <c r="A46" s="172" t="s">
        <v>10</v>
      </c>
      <c r="B46" s="217" t="s">
        <v>129</v>
      </c>
      <c r="C46" s="174" t="s">
        <v>331</v>
      </c>
      <c r="D46" s="183" t="s">
        <v>332</v>
      </c>
      <c r="E46" s="183" t="s">
        <v>131</v>
      </c>
      <c r="F46" s="199" t="s">
        <v>292</v>
      </c>
      <c r="G46" s="180">
        <v>46357.0</v>
      </c>
    </row>
    <row r="47">
      <c r="A47" s="172" t="s">
        <v>10</v>
      </c>
      <c r="B47" s="197" t="s">
        <v>135</v>
      </c>
      <c r="C47" s="174" t="s">
        <v>331</v>
      </c>
      <c r="D47" s="183" t="s">
        <v>335</v>
      </c>
      <c r="E47" s="183" t="s">
        <v>131</v>
      </c>
      <c r="F47" s="199">
        <v>46210.0</v>
      </c>
      <c r="G47" s="180">
        <v>46357.0</v>
      </c>
    </row>
    <row r="48">
      <c r="A48" s="172" t="s">
        <v>10</v>
      </c>
      <c r="B48" s="197" t="s">
        <v>337</v>
      </c>
      <c r="C48" s="174" t="s">
        <v>331</v>
      </c>
      <c r="D48" s="183" t="s">
        <v>335</v>
      </c>
      <c r="E48" s="183" t="s">
        <v>338</v>
      </c>
      <c r="F48" s="199">
        <v>46402.0</v>
      </c>
      <c r="G48" s="180">
        <v>46357.0</v>
      </c>
    </row>
    <row r="49">
      <c r="A49" s="172" t="s">
        <v>10</v>
      </c>
      <c r="B49" s="197" t="s">
        <v>138</v>
      </c>
      <c r="C49" s="174" t="s">
        <v>331</v>
      </c>
      <c r="D49" s="183" t="s">
        <v>339</v>
      </c>
      <c r="E49" s="183" t="s">
        <v>339</v>
      </c>
      <c r="F49" s="199">
        <v>46199.0</v>
      </c>
      <c r="G49" s="180">
        <v>46357.0</v>
      </c>
    </row>
    <row r="50">
      <c r="A50" s="172" t="s">
        <v>10</v>
      </c>
      <c r="B50" s="197"/>
      <c r="C50" s="174" t="s">
        <v>331</v>
      </c>
      <c r="D50" s="183"/>
      <c r="E50" s="183"/>
      <c r="F50" s="199"/>
      <c r="G50" s="180">
        <v>46357.0</v>
      </c>
    </row>
    <row r="51">
      <c r="A51" s="172" t="s">
        <v>10</v>
      </c>
      <c r="B51" s="197"/>
      <c r="C51" s="174" t="s">
        <v>331</v>
      </c>
      <c r="D51" s="183"/>
      <c r="E51" s="183"/>
      <c r="F51" s="199"/>
      <c r="G51" s="180">
        <v>46357.0</v>
      </c>
    </row>
    <row r="52">
      <c r="A52" s="172" t="s">
        <v>10</v>
      </c>
      <c r="B52" s="197"/>
      <c r="C52" s="174" t="s">
        <v>331</v>
      </c>
      <c r="D52" s="183"/>
      <c r="E52" s="183"/>
      <c r="F52" s="199"/>
      <c r="G52" s="180">
        <v>46357.0</v>
      </c>
    </row>
    <row r="53">
      <c r="A53" s="172" t="s">
        <v>10</v>
      </c>
      <c r="B53" s="197"/>
      <c r="C53" s="174" t="s">
        <v>331</v>
      </c>
      <c r="D53" s="183"/>
      <c r="E53" s="183"/>
      <c r="F53" s="199"/>
      <c r="G53" s="180">
        <v>46357.0</v>
      </c>
    </row>
    <row r="54">
      <c r="A54" s="172" t="s">
        <v>10</v>
      </c>
      <c r="B54" s="157" t="s">
        <v>152</v>
      </c>
      <c r="C54" s="174" t="s">
        <v>297</v>
      </c>
      <c r="D54" s="223" t="s">
        <v>345</v>
      </c>
      <c r="E54" s="2" t="s">
        <v>153</v>
      </c>
      <c r="F54" s="209">
        <v>46278.0</v>
      </c>
      <c r="G54" s="70" t="s">
        <v>346</v>
      </c>
    </row>
    <row r="55">
      <c r="A55" s="172" t="s">
        <v>10</v>
      </c>
      <c r="B55" s="157" t="s">
        <v>156</v>
      </c>
      <c r="C55" s="174" t="s">
        <v>297</v>
      </c>
      <c r="D55" s="223" t="s">
        <v>345</v>
      </c>
      <c r="E55" s="2" t="s">
        <v>157</v>
      </c>
      <c r="F55" s="209">
        <v>46266.0</v>
      </c>
      <c r="G55" s="70" t="s">
        <v>346</v>
      </c>
    </row>
    <row r="56">
      <c r="A56" s="172" t="s">
        <v>10</v>
      </c>
      <c r="B56" s="157" t="s">
        <v>347</v>
      </c>
      <c r="C56" s="174" t="s">
        <v>297</v>
      </c>
      <c r="D56" s="223" t="s">
        <v>345</v>
      </c>
      <c r="E56" s="2" t="s">
        <v>160</v>
      </c>
      <c r="F56" s="209">
        <v>46266.0</v>
      </c>
      <c r="G56" s="70" t="s">
        <v>346</v>
      </c>
    </row>
    <row r="57">
      <c r="A57" s="172" t="s">
        <v>10</v>
      </c>
      <c r="B57" s="157" t="s">
        <v>161</v>
      </c>
      <c r="C57" s="174" t="s">
        <v>297</v>
      </c>
      <c r="D57" s="223" t="s">
        <v>345</v>
      </c>
      <c r="E57" s="2" t="s">
        <v>162</v>
      </c>
      <c r="F57" s="209">
        <v>46266.0</v>
      </c>
      <c r="G57" s="70" t="s">
        <v>346</v>
      </c>
    </row>
    <row r="58">
      <c r="A58" s="172" t="s">
        <v>10</v>
      </c>
      <c r="B58" s="157" t="s">
        <v>163</v>
      </c>
      <c r="C58" s="174" t="s">
        <v>297</v>
      </c>
      <c r="D58" s="223" t="s">
        <v>345</v>
      </c>
      <c r="E58" s="2" t="s">
        <v>162</v>
      </c>
      <c r="F58" s="209">
        <v>46266.0</v>
      </c>
      <c r="G58" s="70" t="s">
        <v>346</v>
      </c>
    </row>
    <row r="59">
      <c r="A59" s="172" t="s">
        <v>10</v>
      </c>
      <c r="B59" s="157" t="s">
        <v>349</v>
      </c>
      <c r="C59" s="174" t="s">
        <v>297</v>
      </c>
      <c r="D59" s="223" t="s">
        <v>345</v>
      </c>
      <c r="E59" s="2" t="s">
        <v>165</v>
      </c>
      <c r="F59" s="209">
        <v>46266.0</v>
      </c>
      <c r="G59" s="70" t="s">
        <v>346</v>
      </c>
    </row>
    <row r="60">
      <c r="A60" s="172" t="s">
        <v>10</v>
      </c>
      <c r="B60" s="157" t="s">
        <v>352</v>
      </c>
      <c r="C60" s="174" t="s">
        <v>297</v>
      </c>
      <c r="D60" s="223" t="s">
        <v>345</v>
      </c>
      <c r="E60" s="2" t="s">
        <v>165</v>
      </c>
      <c r="F60" s="209">
        <v>46273.0</v>
      </c>
      <c r="G60" s="70" t="s">
        <v>346</v>
      </c>
    </row>
    <row r="61">
      <c r="A61" s="172" t="s">
        <v>10</v>
      </c>
      <c r="B61" s="157" t="s">
        <v>353</v>
      </c>
      <c r="C61" s="174" t="s">
        <v>297</v>
      </c>
      <c r="D61" s="223" t="s">
        <v>345</v>
      </c>
      <c r="E61" s="2" t="s">
        <v>169</v>
      </c>
      <c r="F61" s="209">
        <v>46266.0</v>
      </c>
      <c r="G61" s="70" t="s">
        <v>346</v>
      </c>
    </row>
    <row r="62">
      <c r="A62" s="172" t="s">
        <v>10</v>
      </c>
      <c r="B62" s="157" t="s">
        <v>354</v>
      </c>
      <c r="C62" s="174" t="s">
        <v>297</v>
      </c>
      <c r="D62" s="223" t="s">
        <v>345</v>
      </c>
      <c r="E62" s="2" t="s">
        <v>169</v>
      </c>
      <c r="F62" s="209">
        <v>46266.0</v>
      </c>
      <c r="G62" s="70" t="s">
        <v>346</v>
      </c>
    </row>
  </sheetData>
  <autoFilter ref="$A$1:$G$62">
    <sortState ref="A1:G62">
      <sortCondition ref="C1:C62"/>
      <sortCondition ref="F1:F62"/>
    </sortState>
  </autoFilter>
  <dataValidations>
    <dataValidation type="list" allowBlank="1" showErrorMessage="1" sqref="C2:C62">
      <formula1>"BSI ASP,BI,BI ,BRI,Bank BTN,Bank Jakarta,HIBANK,MANDIRI,MANTAP,PERMATA,TELKOMSEL"</formula1>
    </dataValidation>
    <dataValidation type="list" allowBlank="1" showErrorMessage="1" sqref="A2:A62">
      <formula1>"AIGEN,GS"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9.63"/>
    <col customWidth="1" min="2" max="2" width="34.25"/>
    <col customWidth="1" min="3" max="3" width="15.13"/>
    <col customWidth="1" min="4" max="4" width="33.25"/>
    <col customWidth="1" min="5" max="5" width="23.5"/>
    <col customWidth="1" min="6" max="6" width="19.38"/>
    <col customWidth="1" min="7" max="7" width="19.0"/>
    <col customWidth="1" min="8" max="9" width="20.63"/>
    <col customWidth="1" min="10" max="10" width="16.5"/>
    <col customWidth="1" min="11" max="11" width="20.13"/>
    <col customWidth="1" min="12" max="12" width="10.38"/>
    <col customWidth="1" min="13" max="13" width="14.38"/>
    <col customWidth="1" min="14" max="14" width="18.13"/>
    <col customWidth="1" min="15" max="15" width="18.5"/>
    <col customWidth="1" min="16" max="16" width="20.88"/>
    <col customWidth="1" min="18" max="18" width="18.38"/>
    <col customWidth="1" min="19" max="19" width="22.0"/>
    <col customWidth="1" min="20" max="20" width="20.75"/>
    <col customWidth="1" min="21" max="21" width="18.88"/>
  </cols>
  <sheetData>
    <row r="1">
      <c r="A1" s="220" t="s">
        <v>2</v>
      </c>
      <c r="B1" s="220" t="s">
        <v>238</v>
      </c>
      <c r="C1" s="220" t="s">
        <v>248</v>
      </c>
      <c r="D1" s="221"/>
      <c r="E1" s="220" t="s">
        <v>240</v>
      </c>
      <c r="F1" s="220" t="s">
        <v>242</v>
      </c>
      <c r="G1" s="220" t="s">
        <v>243</v>
      </c>
      <c r="H1" s="220" t="s">
        <v>244</v>
      </c>
      <c r="I1" s="220" t="s">
        <v>245</v>
      </c>
      <c r="J1" s="220" t="s">
        <v>9</v>
      </c>
      <c r="K1" s="220" t="s">
        <v>246</v>
      </c>
      <c r="L1" s="220" t="s">
        <v>247</v>
      </c>
      <c r="M1" s="220" t="s">
        <v>249</v>
      </c>
      <c r="N1" s="220" t="s">
        <v>250</v>
      </c>
      <c r="O1" s="220" t="s">
        <v>252</v>
      </c>
      <c r="P1" s="220" t="s">
        <v>253</v>
      </c>
      <c r="Q1" s="220" t="s">
        <v>254</v>
      </c>
      <c r="R1" s="220" t="s">
        <v>255</v>
      </c>
      <c r="S1" s="220" t="s">
        <v>256</v>
      </c>
      <c r="T1" s="220" t="s">
        <v>257</v>
      </c>
      <c r="U1" s="224" t="s">
        <v>259</v>
      </c>
    </row>
    <row r="2" hidden="1">
      <c r="A2" s="225" t="s">
        <v>15</v>
      </c>
      <c r="B2" s="226" t="s">
        <v>31</v>
      </c>
      <c r="C2" s="227" t="s">
        <v>348</v>
      </c>
      <c r="D2" s="225" t="s">
        <v>264</v>
      </c>
      <c r="E2" s="225" t="s">
        <v>32</v>
      </c>
      <c r="F2" s="228">
        <v>46266.0</v>
      </c>
      <c r="G2" s="229">
        <v>8000000.0</v>
      </c>
      <c r="H2" s="231">
        <v>1000000.0</v>
      </c>
      <c r="I2" s="231"/>
      <c r="J2" s="231"/>
      <c r="K2" s="231">
        <f t="shared" ref="K2:K50" si="1">G2+H2+I2</f>
        <v>9000000</v>
      </c>
      <c r="L2" s="233">
        <v>1.5</v>
      </c>
      <c r="M2" s="231">
        <f t="shared" ref="M2:M22" si="2">K2*L2</f>
        <v>13500000</v>
      </c>
      <c r="N2" s="231">
        <v>2.2387E7</v>
      </c>
      <c r="O2" s="231">
        <f>(N2/1.11)*98%</f>
        <v>19765099.1</v>
      </c>
      <c r="P2" s="231">
        <f t="shared" ref="P2:P22" si="3">O2-M2</f>
        <v>6265099.099</v>
      </c>
      <c r="Q2" s="240">
        <f t="shared" ref="Q2:Q22" si="4">P2/M2</f>
        <v>0.4640814147</v>
      </c>
      <c r="R2" s="248" t="str">
        <f t="shared" ref="R2:R22" si="5">IFS(
  Q2&lt;=-0, "Min",
  Q2&lt;=0.1, "Low",
  Q2&lt;=0.2, "Middle",
  Q2&lt;=0.4, "High",
  Q2&gt;0.4, "Very High"
)</f>
        <v>Very High</v>
      </c>
      <c r="S2" s="233"/>
      <c r="T2" s="233"/>
      <c r="U2" s="233"/>
    </row>
    <row r="3" hidden="1">
      <c r="A3" s="225" t="s">
        <v>15</v>
      </c>
      <c r="B3" s="250" t="s">
        <v>76</v>
      </c>
      <c r="C3" s="250" t="s">
        <v>272</v>
      </c>
      <c r="D3" s="225" t="s">
        <v>273</v>
      </c>
      <c r="E3" s="225" t="s">
        <v>274</v>
      </c>
      <c r="F3" s="251">
        <v>46123.0</v>
      </c>
      <c r="G3" s="42">
        <v>7331379.0</v>
      </c>
      <c r="H3" s="231">
        <v>1000000.0</v>
      </c>
      <c r="I3" s="252">
        <v>500000.0</v>
      </c>
      <c r="J3" s="252" t="s">
        <v>324</v>
      </c>
      <c r="K3" s="231">
        <f t="shared" si="1"/>
        <v>8831379</v>
      </c>
      <c r="L3" s="255">
        <v>1.4</v>
      </c>
      <c r="M3" s="231">
        <f t="shared" si="2"/>
        <v>12363930.6</v>
      </c>
      <c r="N3" s="231">
        <v>2.2E7</v>
      </c>
      <c r="O3" s="231">
        <v>1.98E7</v>
      </c>
      <c r="P3" s="231">
        <f t="shared" si="3"/>
        <v>7436069.4</v>
      </c>
      <c r="Q3" s="240">
        <f t="shared" si="4"/>
        <v>0.6014324765</v>
      </c>
      <c r="R3" s="248" t="str">
        <f t="shared" si="5"/>
        <v>Very High</v>
      </c>
      <c r="S3" s="233"/>
      <c r="T3" s="233"/>
      <c r="U3" s="233"/>
    </row>
    <row r="4" hidden="1">
      <c r="A4" s="225" t="s">
        <v>15</v>
      </c>
      <c r="B4" s="256" t="s">
        <v>365</v>
      </c>
      <c r="C4" s="250" t="s">
        <v>272</v>
      </c>
      <c r="D4" s="225" t="s">
        <v>279</v>
      </c>
      <c r="E4" s="225" t="s">
        <v>274</v>
      </c>
      <c r="F4" s="251">
        <v>46214.0</v>
      </c>
      <c r="G4" s="252">
        <v>8400992.0</v>
      </c>
      <c r="H4" s="231">
        <v>1000000.0</v>
      </c>
      <c r="I4" s="252">
        <v>1000000.0</v>
      </c>
      <c r="J4" s="231" t="s">
        <v>333</v>
      </c>
      <c r="K4" s="231">
        <f t="shared" si="1"/>
        <v>10400992</v>
      </c>
      <c r="L4" s="255">
        <v>1.3</v>
      </c>
      <c r="M4" s="231">
        <f t="shared" si="2"/>
        <v>13521289.6</v>
      </c>
      <c r="N4" s="231">
        <v>2.0E7</v>
      </c>
      <c r="O4" s="231">
        <v>1.98E7</v>
      </c>
      <c r="P4" s="231">
        <f t="shared" si="3"/>
        <v>6278710.4</v>
      </c>
      <c r="Q4" s="240">
        <f t="shared" si="4"/>
        <v>0.4643573643</v>
      </c>
      <c r="R4" s="248" t="str">
        <f t="shared" si="5"/>
        <v>Very High</v>
      </c>
      <c r="S4" s="257"/>
      <c r="T4" s="233"/>
      <c r="U4" s="233"/>
    </row>
    <row r="5" hidden="1">
      <c r="A5" s="225" t="s">
        <v>10</v>
      </c>
      <c r="B5" s="256" t="s">
        <v>366</v>
      </c>
      <c r="C5" s="250" t="s">
        <v>272</v>
      </c>
      <c r="D5" s="225" t="s">
        <v>280</v>
      </c>
      <c r="E5" s="225" t="s">
        <v>274</v>
      </c>
      <c r="F5" s="251">
        <v>46233.0</v>
      </c>
      <c r="G5" s="258">
        <v>6800000.0</v>
      </c>
      <c r="H5" s="231">
        <v>1000000.0</v>
      </c>
      <c r="I5" s="252">
        <v>500000.0</v>
      </c>
      <c r="J5" s="231"/>
      <c r="K5" s="231">
        <f t="shared" si="1"/>
        <v>8300000</v>
      </c>
      <c r="L5" s="233">
        <v>1.5</v>
      </c>
      <c r="M5" s="231">
        <f t="shared" si="2"/>
        <v>12450000</v>
      </c>
      <c r="N5" s="231">
        <v>2.0E7</v>
      </c>
      <c r="O5" s="231">
        <v>1.98E7</v>
      </c>
      <c r="P5" s="231">
        <f t="shared" si="3"/>
        <v>7350000</v>
      </c>
      <c r="Q5" s="240">
        <f t="shared" si="4"/>
        <v>0.5903614458</v>
      </c>
      <c r="R5" s="248" t="str">
        <f t="shared" si="5"/>
        <v>Very High</v>
      </c>
      <c r="S5" s="233"/>
      <c r="T5" s="233"/>
      <c r="U5" s="233"/>
    </row>
    <row r="6" hidden="1">
      <c r="A6" s="225" t="s">
        <v>15</v>
      </c>
      <c r="B6" s="250" t="s">
        <v>276</v>
      </c>
      <c r="C6" s="250" t="s">
        <v>272</v>
      </c>
      <c r="D6" s="225" t="s">
        <v>351</v>
      </c>
      <c r="E6" s="225" t="s">
        <v>314</v>
      </c>
      <c r="F6" s="261">
        <v>46320.0</v>
      </c>
      <c r="G6" s="262">
        <v>6789705.0</v>
      </c>
      <c r="H6" s="229">
        <v>1000000.0</v>
      </c>
      <c r="I6" s="229">
        <v>500000.0</v>
      </c>
      <c r="J6" s="229"/>
      <c r="K6" s="231">
        <f t="shared" si="1"/>
        <v>8289705</v>
      </c>
      <c r="L6" s="233">
        <v>1.5</v>
      </c>
      <c r="M6" s="231">
        <f t="shared" si="2"/>
        <v>12434557.5</v>
      </c>
      <c r="N6" s="231">
        <v>2.14E7</v>
      </c>
      <c r="O6" s="231">
        <v>1.98E7</v>
      </c>
      <c r="P6" s="231">
        <f t="shared" si="3"/>
        <v>7365442.5</v>
      </c>
      <c r="Q6" s="240">
        <f t="shared" si="4"/>
        <v>0.5923365186</v>
      </c>
      <c r="R6" s="248" t="str">
        <f t="shared" si="5"/>
        <v>Very High</v>
      </c>
      <c r="S6" s="233"/>
      <c r="T6" s="233"/>
      <c r="U6" s="233"/>
    </row>
    <row r="7" hidden="1">
      <c r="A7" s="225" t="s">
        <v>10</v>
      </c>
      <c r="B7" s="227" t="s">
        <v>355</v>
      </c>
      <c r="C7" s="250" t="s">
        <v>272</v>
      </c>
      <c r="D7" s="225" t="s">
        <v>351</v>
      </c>
      <c r="E7" s="225" t="s">
        <v>369</v>
      </c>
      <c r="F7" s="251" t="s">
        <v>370</v>
      </c>
      <c r="G7" s="258">
        <v>6250884.0</v>
      </c>
      <c r="H7" s="229">
        <v>1000000.0</v>
      </c>
      <c r="I7" s="258">
        <v>300000.0</v>
      </c>
      <c r="J7" s="229"/>
      <c r="K7" s="231">
        <f t="shared" si="1"/>
        <v>7550884</v>
      </c>
      <c r="L7" s="255">
        <v>1.4</v>
      </c>
      <c r="M7" s="231">
        <f t="shared" si="2"/>
        <v>10571237.6</v>
      </c>
      <c r="N7" s="42">
        <v>2.14E7</v>
      </c>
      <c r="O7" s="231">
        <v>1.98E7</v>
      </c>
      <c r="P7" s="231">
        <f t="shared" si="3"/>
        <v>9228762.4</v>
      </c>
      <c r="Q7" s="240">
        <f t="shared" si="4"/>
        <v>0.8730068086</v>
      </c>
      <c r="R7" s="248" t="str">
        <f t="shared" si="5"/>
        <v>Very High</v>
      </c>
      <c r="S7" s="233"/>
      <c r="T7" s="233"/>
      <c r="U7" s="233"/>
    </row>
    <row r="8" hidden="1">
      <c r="A8" s="225" t="s">
        <v>10</v>
      </c>
      <c r="B8" s="267" t="s">
        <v>281</v>
      </c>
      <c r="C8" s="250" t="s">
        <v>282</v>
      </c>
      <c r="D8" s="225" t="s">
        <v>280</v>
      </c>
      <c r="E8" s="225" t="s">
        <v>283</v>
      </c>
      <c r="F8" s="228">
        <v>46239.0</v>
      </c>
      <c r="G8" s="258">
        <v>8200000.0</v>
      </c>
      <c r="H8" s="231">
        <v>1000000.0</v>
      </c>
      <c r="I8" s="252">
        <v>1000000.0</v>
      </c>
      <c r="J8" s="231"/>
      <c r="K8" s="231">
        <f t="shared" si="1"/>
        <v>10200000</v>
      </c>
      <c r="L8" s="255">
        <v>1.4</v>
      </c>
      <c r="M8" s="231">
        <f t="shared" si="2"/>
        <v>14280000</v>
      </c>
      <c r="N8" s="231">
        <v>2.0E7</v>
      </c>
      <c r="O8" s="231">
        <v>1.98E7</v>
      </c>
      <c r="P8" s="231">
        <f t="shared" si="3"/>
        <v>5520000</v>
      </c>
      <c r="Q8" s="240">
        <f t="shared" si="4"/>
        <v>0.3865546218</v>
      </c>
      <c r="R8" s="248" t="str">
        <f t="shared" si="5"/>
        <v>High</v>
      </c>
      <c r="S8" s="233"/>
      <c r="T8" s="233"/>
      <c r="U8" s="233"/>
    </row>
    <row r="9" hidden="1">
      <c r="A9" s="225" t="s">
        <v>15</v>
      </c>
      <c r="B9" s="250" t="s">
        <v>284</v>
      </c>
      <c r="C9" s="250" t="s">
        <v>285</v>
      </c>
      <c r="D9" s="225" t="s">
        <v>111</v>
      </c>
      <c r="E9" s="225" t="s">
        <v>286</v>
      </c>
      <c r="F9" s="228">
        <v>46234.0</v>
      </c>
      <c r="G9" s="229">
        <v>8300000.0</v>
      </c>
      <c r="H9" s="231">
        <v>1000000.0</v>
      </c>
      <c r="I9" s="231">
        <v>500000.0</v>
      </c>
      <c r="J9" s="252" t="s">
        <v>324</v>
      </c>
      <c r="K9" s="231">
        <f t="shared" si="1"/>
        <v>9800000</v>
      </c>
      <c r="L9" s="233">
        <v>1.4</v>
      </c>
      <c r="M9" s="231">
        <f t="shared" si="2"/>
        <v>13720000</v>
      </c>
      <c r="N9" s="231">
        <v>2.2E7</v>
      </c>
      <c r="O9" s="231">
        <v>2.2E7</v>
      </c>
      <c r="P9" s="231">
        <f t="shared" si="3"/>
        <v>8280000</v>
      </c>
      <c r="Q9" s="240">
        <f t="shared" si="4"/>
        <v>0.6034985423</v>
      </c>
      <c r="R9" s="248" t="str">
        <f t="shared" si="5"/>
        <v>Very High</v>
      </c>
      <c r="S9" s="233"/>
      <c r="T9" s="233"/>
      <c r="U9" s="233"/>
    </row>
    <row r="10" hidden="1">
      <c r="A10" s="225" t="s">
        <v>15</v>
      </c>
      <c r="B10" s="270" t="s">
        <v>116</v>
      </c>
      <c r="C10" s="250" t="s">
        <v>285</v>
      </c>
      <c r="D10" s="225" t="s">
        <v>287</v>
      </c>
      <c r="E10" s="225" t="s">
        <v>19</v>
      </c>
      <c r="F10" s="228">
        <v>46223.0</v>
      </c>
      <c r="G10" s="229">
        <v>8926054.0</v>
      </c>
      <c r="H10" s="231">
        <v>1000000.0</v>
      </c>
      <c r="I10" s="231">
        <v>500000.0</v>
      </c>
      <c r="J10" s="231" t="s">
        <v>374</v>
      </c>
      <c r="K10" s="231">
        <f t="shared" si="1"/>
        <v>10426054</v>
      </c>
      <c r="L10" s="233">
        <v>1.4</v>
      </c>
      <c r="M10" s="231">
        <f t="shared" si="2"/>
        <v>14596475.6</v>
      </c>
      <c r="N10" s="231">
        <v>1.7E7</v>
      </c>
      <c r="O10" s="231">
        <v>1.7E7</v>
      </c>
      <c r="P10" s="231">
        <f t="shared" si="3"/>
        <v>2403524.4</v>
      </c>
      <c r="Q10" s="240">
        <f t="shared" si="4"/>
        <v>0.1646647085</v>
      </c>
      <c r="R10" s="275" t="str">
        <f t="shared" si="5"/>
        <v>Middle</v>
      </c>
      <c r="S10" s="233"/>
      <c r="T10" s="233"/>
      <c r="U10" s="233"/>
    </row>
    <row r="11" hidden="1">
      <c r="A11" s="225" t="s">
        <v>10</v>
      </c>
      <c r="B11" s="277" t="s">
        <v>119</v>
      </c>
      <c r="C11" s="250" t="s">
        <v>285</v>
      </c>
      <c r="D11" s="225" t="s">
        <v>111</v>
      </c>
      <c r="E11" s="280" t="s">
        <v>288</v>
      </c>
      <c r="F11" s="228">
        <v>46217.0</v>
      </c>
      <c r="G11" s="258">
        <v>6789705.0</v>
      </c>
      <c r="H11" s="258">
        <v>1000000.0</v>
      </c>
      <c r="I11" s="252">
        <v>300000.0</v>
      </c>
      <c r="J11" s="231" t="s">
        <v>376</v>
      </c>
      <c r="K11" s="231">
        <f t="shared" si="1"/>
        <v>8089705</v>
      </c>
      <c r="L11" s="233">
        <v>1.4</v>
      </c>
      <c r="M11" s="231">
        <f t="shared" si="2"/>
        <v>11325587</v>
      </c>
      <c r="N11" s="231">
        <v>2.2E7</v>
      </c>
      <c r="O11" s="231">
        <v>2.2E7</v>
      </c>
      <c r="P11" s="231">
        <f t="shared" si="3"/>
        <v>10674413</v>
      </c>
      <c r="Q11" s="240">
        <f t="shared" si="4"/>
        <v>0.9425041722</v>
      </c>
      <c r="R11" s="248" t="str">
        <f t="shared" si="5"/>
        <v>Very High</v>
      </c>
      <c r="S11" s="231"/>
      <c r="T11" s="233"/>
      <c r="U11" s="233"/>
    </row>
    <row r="12" hidden="1">
      <c r="A12" s="225" t="s">
        <v>10</v>
      </c>
      <c r="B12" s="286" t="s">
        <v>120</v>
      </c>
      <c r="C12" s="250" t="s">
        <v>285</v>
      </c>
      <c r="D12" s="225" t="s">
        <v>287</v>
      </c>
      <c r="E12" s="225" t="s">
        <v>289</v>
      </c>
      <c r="F12" s="228">
        <v>46217.0</v>
      </c>
      <c r="G12" s="231">
        <v>6789705.0</v>
      </c>
      <c r="H12" s="231">
        <v>1000000.0</v>
      </c>
      <c r="I12" s="231"/>
      <c r="J12" s="231" t="s">
        <v>314</v>
      </c>
      <c r="K12" s="231">
        <f t="shared" si="1"/>
        <v>7789705</v>
      </c>
      <c r="L12" s="233">
        <v>1.4</v>
      </c>
      <c r="M12" s="231">
        <f t="shared" si="2"/>
        <v>10905587</v>
      </c>
      <c r="N12" s="231">
        <v>1.5E7</v>
      </c>
      <c r="O12" s="231">
        <v>1.5E7</v>
      </c>
      <c r="P12" s="231">
        <f t="shared" si="3"/>
        <v>4094413</v>
      </c>
      <c r="Q12" s="240">
        <f t="shared" si="4"/>
        <v>0.3754417804</v>
      </c>
      <c r="R12" s="291" t="str">
        <f t="shared" si="5"/>
        <v>High</v>
      </c>
      <c r="S12" s="233"/>
      <c r="T12" s="233"/>
      <c r="U12" s="233"/>
    </row>
    <row r="13" hidden="1">
      <c r="A13" s="225" t="s">
        <v>10</v>
      </c>
      <c r="B13" s="286" t="s">
        <v>121</v>
      </c>
      <c r="C13" s="250" t="s">
        <v>285</v>
      </c>
      <c r="D13" s="225" t="s">
        <v>287</v>
      </c>
      <c r="E13" s="225" t="s">
        <v>289</v>
      </c>
      <c r="F13" s="228">
        <v>46217.0</v>
      </c>
      <c r="G13" s="231">
        <v>6789705.0</v>
      </c>
      <c r="H13" s="231">
        <v>1000000.0</v>
      </c>
      <c r="I13" s="231"/>
      <c r="J13" s="231" t="s">
        <v>314</v>
      </c>
      <c r="K13" s="231">
        <f t="shared" si="1"/>
        <v>7789705</v>
      </c>
      <c r="L13" s="233">
        <v>1.4</v>
      </c>
      <c r="M13" s="231">
        <f t="shared" si="2"/>
        <v>10905587</v>
      </c>
      <c r="N13" s="231">
        <v>1.5E7</v>
      </c>
      <c r="O13" s="231">
        <v>1.5E7</v>
      </c>
      <c r="P13" s="231">
        <f t="shared" si="3"/>
        <v>4094413</v>
      </c>
      <c r="Q13" s="240">
        <f t="shared" si="4"/>
        <v>0.3754417804</v>
      </c>
      <c r="R13" s="291" t="str">
        <f t="shared" si="5"/>
        <v>High</v>
      </c>
      <c r="S13" s="233"/>
      <c r="T13" s="233"/>
      <c r="U13" s="233"/>
    </row>
    <row r="14" hidden="1">
      <c r="A14" s="225" t="s">
        <v>15</v>
      </c>
      <c r="B14" s="250" t="s">
        <v>290</v>
      </c>
      <c r="C14" s="250" t="s">
        <v>285</v>
      </c>
      <c r="D14" s="225" t="s">
        <v>111</v>
      </c>
      <c r="E14" s="225" t="s">
        <v>291</v>
      </c>
      <c r="F14" s="251" t="s">
        <v>292</v>
      </c>
      <c r="G14" s="231">
        <v>1.0E7</v>
      </c>
      <c r="H14" s="231">
        <v>1000000.0</v>
      </c>
      <c r="I14" s="231"/>
      <c r="J14" s="231" t="s">
        <v>340</v>
      </c>
      <c r="K14" s="231">
        <f t="shared" si="1"/>
        <v>11000000</v>
      </c>
      <c r="L14" s="233">
        <v>1.4</v>
      </c>
      <c r="M14" s="231">
        <f t="shared" si="2"/>
        <v>15400000</v>
      </c>
      <c r="N14" s="231">
        <v>2.2E7</v>
      </c>
      <c r="O14" s="231">
        <v>2.2E7</v>
      </c>
      <c r="P14" s="231">
        <f t="shared" si="3"/>
        <v>6600000</v>
      </c>
      <c r="Q14" s="240">
        <f t="shared" si="4"/>
        <v>0.4285714286</v>
      </c>
      <c r="R14" s="248" t="str">
        <f t="shared" si="5"/>
        <v>Very High</v>
      </c>
      <c r="S14" s="233"/>
      <c r="T14" s="233"/>
      <c r="U14" s="233"/>
    </row>
    <row r="15">
      <c r="A15" s="225" t="s">
        <v>10</v>
      </c>
      <c r="B15" s="250" t="s">
        <v>80</v>
      </c>
      <c r="C15" s="250" t="s">
        <v>319</v>
      </c>
      <c r="D15" s="301" t="s">
        <v>320</v>
      </c>
      <c r="E15" s="301" t="s">
        <v>320</v>
      </c>
      <c r="F15" s="251">
        <v>46241.0</v>
      </c>
      <c r="G15" s="229">
        <v>1.0713395E7</v>
      </c>
      <c r="H15" s="231">
        <v>1000000.0</v>
      </c>
      <c r="I15" s="231"/>
      <c r="J15" s="231"/>
      <c r="K15" s="231">
        <f t="shared" si="1"/>
        <v>11713395</v>
      </c>
      <c r="L15" s="255">
        <v>1.3</v>
      </c>
      <c r="M15" s="231">
        <f t="shared" si="2"/>
        <v>15227413.5</v>
      </c>
      <c r="N15" s="231">
        <v>2.185E7</v>
      </c>
      <c r="O15" s="252">
        <v>2.06682E7</v>
      </c>
      <c r="P15" s="231">
        <f t="shared" si="3"/>
        <v>5440786.5</v>
      </c>
      <c r="Q15" s="240">
        <f t="shared" si="4"/>
        <v>0.3573020789</v>
      </c>
      <c r="R15" s="291" t="str">
        <f t="shared" si="5"/>
        <v>High</v>
      </c>
      <c r="S15" s="233"/>
      <c r="T15" s="233"/>
      <c r="U15" s="233"/>
    </row>
    <row r="16" hidden="1">
      <c r="A16" s="225" t="s">
        <v>10</v>
      </c>
      <c r="B16" s="250" t="s">
        <v>391</v>
      </c>
      <c r="C16" s="250" t="s">
        <v>304</v>
      </c>
      <c r="D16" s="225" t="s">
        <v>305</v>
      </c>
      <c r="E16" s="225" t="s">
        <v>90</v>
      </c>
      <c r="F16" s="306" t="s">
        <v>292</v>
      </c>
      <c r="G16" s="229">
        <v>8926054.0</v>
      </c>
      <c r="H16" s="231">
        <v>1000000.0</v>
      </c>
      <c r="I16" s="307">
        <v>1500000.0</v>
      </c>
      <c r="J16" s="231"/>
      <c r="K16" s="231">
        <f t="shared" si="1"/>
        <v>11426054</v>
      </c>
      <c r="L16" s="233">
        <v>1.4</v>
      </c>
      <c r="M16" s="231">
        <f t="shared" si="2"/>
        <v>15996475.6</v>
      </c>
      <c r="N16" s="231">
        <v>2.26E7</v>
      </c>
      <c r="O16" s="231">
        <v>1.8288E7</v>
      </c>
      <c r="P16" s="231">
        <f t="shared" si="3"/>
        <v>2291524.4</v>
      </c>
      <c r="Q16" s="240">
        <f t="shared" si="4"/>
        <v>0.1432518298</v>
      </c>
      <c r="R16" s="275" t="str">
        <f t="shared" si="5"/>
        <v>Middle</v>
      </c>
      <c r="S16" s="233"/>
      <c r="T16" s="233"/>
      <c r="U16" s="233"/>
    </row>
    <row r="17" hidden="1">
      <c r="A17" s="225" t="s">
        <v>10</v>
      </c>
      <c r="B17" s="315" t="s">
        <v>94</v>
      </c>
      <c r="C17" s="250" t="s">
        <v>304</v>
      </c>
      <c r="D17" s="225" t="s">
        <v>305</v>
      </c>
      <c r="E17" s="225" t="s">
        <v>90</v>
      </c>
      <c r="F17" s="251">
        <v>46217.0</v>
      </c>
      <c r="G17" s="42">
        <v>1.0056338E7</v>
      </c>
      <c r="H17" s="231">
        <v>1000000.0</v>
      </c>
      <c r="I17" s="231">
        <v>1000000.0</v>
      </c>
      <c r="J17" s="231"/>
      <c r="K17" s="231">
        <f t="shared" si="1"/>
        <v>12056338</v>
      </c>
      <c r="L17" s="233">
        <v>1.4</v>
      </c>
      <c r="M17" s="231">
        <f t="shared" si="2"/>
        <v>16878873.2</v>
      </c>
      <c r="N17" s="231">
        <v>2.26E7</v>
      </c>
      <c r="O17" s="252">
        <v>2.6E7</v>
      </c>
      <c r="P17" s="231">
        <f t="shared" si="3"/>
        <v>9121126.8</v>
      </c>
      <c r="Q17" s="240">
        <f t="shared" si="4"/>
        <v>0.5403871865</v>
      </c>
      <c r="R17" s="320" t="str">
        <f t="shared" si="5"/>
        <v>Very High</v>
      </c>
      <c r="S17" s="233"/>
      <c r="T17" s="233"/>
      <c r="U17" s="233"/>
    </row>
    <row r="18" hidden="1">
      <c r="A18" s="225" t="s">
        <v>10</v>
      </c>
      <c r="B18" s="321" t="s">
        <v>411</v>
      </c>
      <c r="C18" s="250" t="s">
        <v>304</v>
      </c>
      <c r="D18" s="225" t="s">
        <v>305</v>
      </c>
      <c r="E18" s="225" t="s">
        <v>90</v>
      </c>
      <c r="F18" s="251">
        <v>46217.0</v>
      </c>
      <c r="G18" s="229">
        <v>1.0713395E7</v>
      </c>
      <c r="H18" s="231">
        <v>1000000.0</v>
      </c>
      <c r="I18" s="231">
        <v>1000000.0</v>
      </c>
      <c r="J18" s="231"/>
      <c r="K18" s="231">
        <f t="shared" si="1"/>
        <v>12713395</v>
      </c>
      <c r="L18" s="233">
        <v>1.4</v>
      </c>
      <c r="M18" s="231">
        <f t="shared" si="2"/>
        <v>17798753</v>
      </c>
      <c r="N18" s="231">
        <v>2.26E7</v>
      </c>
      <c r="O18" s="252">
        <v>2.6E7</v>
      </c>
      <c r="P18" s="231">
        <f t="shared" si="3"/>
        <v>8201247</v>
      </c>
      <c r="Q18" s="240">
        <f t="shared" si="4"/>
        <v>0.4607764937</v>
      </c>
      <c r="R18" s="320" t="str">
        <f t="shared" si="5"/>
        <v>Very High</v>
      </c>
      <c r="S18" s="233"/>
      <c r="T18" s="233"/>
      <c r="U18" s="233"/>
    </row>
    <row r="19" hidden="1">
      <c r="A19" s="225" t="s">
        <v>10</v>
      </c>
      <c r="B19" s="321" t="s">
        <v>411</v>
      </c>
      <c r="C19" s="250" t="s">
        <v>304</v>
      </c>
      <c r="D19" s="225" t="s">
        <v>305</v>
      </c>
      <c r="E19" s="225" t="s">
        <v>90</v>
      </c>
      <c r="F19" s="251">
        <v>46217.0</v>
      </c>
      <c r="G19" s="42">
        <v>1.0056338E7</v>
      </c>
      <c r="H19" s="231">
        <v>1000000.0</v>
      </c>
      <c r="I19" s="252">
        <v>1800000.0</v>
      </c>
      <c r="J19" s="231"/>
      <c r="K19" s="231">
        <f t="shared" si="1"/>
        <v>12856338</v>
      </c>
      <c r="L19" s="233">
        <v>1.4</v>
      </c>
      <c r="M19" s="231">
        <f t="shared" si="2"/>
        <v>17998873.2</v>
      </c>
      <c r="N19" s="231">
        <v>2.26E7</v>
      </c>
      <c r="O19" s="252">
        <v>2.6E7</v>
      </c>
      <c r="P19" s="231">
        <f t="shared" si="3"/>
        <v>8001126.8</v>
      </c>
      <c r="Q19" s="240">
        <f t="shared" si="4"/>
        <v>0.4445348723</v>
      </c>
      <c r="R19" s="320" t="str">
        <f t="shared" si="5"/>
        <v>Very High</v>
      </c>
      <c r="S19" s="233"/>
      <c r="T19" s="233"/>
      <c r="U19" s="233"/>
    </row>
    <row r="20" hidden="1">
      <c r="A20" s="306" t="s">
        <v>10</v>
      </c>
      <c r="B20" s="330" t="s">
        <v>416</v>
      </c>
      <c r="C20" s="250" t="s">
        <v>304</v>
      </c>
      <c r="D20" s="225" t="s">
        <v>305</v>
      </c>
      <c r="E20" s="225" t="s">
        <v>311</v>
      </c>
      <c r="F20" s="251">
        <v>46235.0</v>
      </c>
      <c r="G20" s="42">
        <v>1.0056338E7</v>
      </c>
      <c r="H20" s="231">
        <v>1000000.0</v>
      </c>
      <c r="I20" s="252">
        <v>3000000.0</v>
      </c>
      <c r="J20" s="231"/>
      <c r="K20" s="231">
        <f t="shared" si="1"/>
        <v>14056338</v>
      </c>
      <c r="L20" s="233">
        <v>1.4</v>
      </c>
      <c r="M20" s="231">
        <f t="shared" si="2"/>
        <v>19678873.2</v>
      </c>
      <c r="N20" s="252">
        <v>2.38E7</v>
      </c>
      <c r="O20" s="252">
        <f>(N20/1.11)*98%</f>
        <v>21012612.61</v>
      </c>
      <c r="P20" s="231">
        <f t="shared" si="3"/>
        <v>1333739.413</v>
      </c>
      <c r="Q20" s="240">
        <f t="shared" si="4"/>
        <v>0.06777519216</v>
      </c>
      <c r="R20" s="320" t="str">
        <f t="shared" si="5"/>
        <v>Low</v>
      </c>
      <c r="S20" s="231"/>
      <c r="T20" s="233"/>
      <c r="U20" s="233"/>
    </row>
    <row r="21" hidden="1">
      <c r="A21" s="225" t="s">
        <v>15</v>
      </c>
      <c r="B21" s="250" t="s">
        <v>434</v>
      </c>
      <c r="C21" s="227" t="s">
        <v>435</v>
      </c>
      <c r="D21" s="306" t="s">
        <v>436</v>
      </c>
      <c r="E21" s="225" t="s">
        <v>90</v>
      </c>
      <c r="F21" s="228">
        <v>46268.0</v>
      </c>
      <c r="G21" s="229">
        <v>7106040.0</v>
      </c>
      <c r="H21" s="231">
        <v>1000000.0</v>
      </c>
      <c r="I21" s="333">
        <v>1000000.0</v>
      </c>
      <c r="J21" s="231"/>
      <c r="K21" s="231">
        <f t="shared" si="1"/>
        <v>9106040</v>
      </c>
      <c r="L21" s="233">
        <v>1.4</v>
      </c>
      <c r="M21" s="231">
        <f t="shared" si="2"/>
        <v>12748456</v>
      </c>
      <c r="N21" s="231">
        <v>2.26E7</v>
      </c>
      <c r="O21" s="231">
        <v>1.77478E7</v>
      </c>
      <c r="P21" s="231">
        <f t="shared" si="3"/>
        <v>4999344</v>
      </c>
      <c r="Q21" s="240">
        <f t="shared" si="4"/>
        <v>0.3921529007</v>
      </c>
      <c r="R21" s="291" t="str">
        <f t="shared" si="5"/>
        <v>High</v>
      </c>
      <c r="S21" s="233"/>
      <c r="T21" s="233"/>
      <c r="U21" s="233"/>
    </row>
    <row r="22" hidden="1">
      <c r="A22" s="225" t="s">
        <v>10</v>
      </c>
      <c r="B22" s="250" t="s">
        <v>87</v>
      </c>
      <c r="C22" s="250" t="s">
        <v>304</v>
      </c>
      <c r="D22" s="225" t="s">
        <v>305</v>
      </c>
      <c r="E22" s="225" t="s">
        <v>312</v>
      </c>
      <c r="F22" s="251" t="s">
        <v>292</v>
      </c>
      <c r="G22" s="229">
        <v>1.429721E7</v>
      </c>
      <c r="H22" s="231">
        <v>1000000.0</v>
      </c>
      <c r="I22" s="231">
        <v>1000000.0</v>
      </c>
      <c r="J22" s="229"/>
      <c r="K22" s="231">
        <f t="shared" si="1"/>
        <v>16297210</v>
      </c>
      <c r="L22" s="233">
        <v>1.3</v>
      </c>
      <c r="M22" s="231">
        <f t="shared" si="2"/>
        <v>21186373</v>
      </c>
      <c r="N22" s="231">
        <v>4.0E7</v>
      </c>
      <c r="O22" s="231">
        <v>3.5315316E7</v>
      </c>
      <c r="P22" s="231">
        <f t="shared" si="3"/>
        <v>14128943</v>
      </c>
      <c r="Q22" s="240">
        <f t="shared" si="4"/>
        <v>0.6668882399</v>
      </c>
      <c r="R22" s="248" t="str">
        <f t="shared" si="5"/>
        <v>Very High</v>
      </c>
      <c r="S22" s="233"/>
      <c r="T22" s="233"/>
      <c r="U22" s="233"/>
    </row>
    <row r="23" hidden="1">
      <c r="A23" s="233" t="s">
        <v>10</v>
      </c>
      <c r="B23" s="250" t="s">
        <v>363</v>
      </c>
      <c r="C23" s="227" t="s">
        <v>435</v>
      </c>
      <c r="D23" s="306" t="s">
        <v>436</v>
      </c>
      <c r="E23" s="225" t="s">
        <v>104</v>
      </c>
      <c r="F23" s="335"/>
      <c r="G23" s="233"/>
      <c r="H23" s="233"/>
      <c r="I23" s="233"/>
      <c r="J23" s="233"/>
      <c r="K23" s="233">
        <f t="shared" si="1"/>
        <v>0</v>
      </c>
      <c r="L23" s="233"/>
      <c r="M23" s="233"/>
      <c r="N23" s="233"/>
      <c r="O23" s="233"/>
      <c r="P23" s="233"/>
      <c r="Q23" s="233"/>
      <c r="R23" s="233"/>
      <c r="S23" s="233"/>
      <c r="T23" s="233"/>
      <c r="U23" s="233"/>
    </row>
    <row r="24" hidden="1">
      <c r="A24" s="233" t="s">
        <v>15</v>
      </c>
      <c r="B24" s="267" t="s">
        <v>107</v>
      </c>
      <c r="C24" s="250" t="s">
        <v>313</v>
      </c>
      <c r="D24" s="233" t="s">
        <v>315</v>
      </c>
      <c r="E24" s="233" t="s">
        <v>315</v>
      </c>
      <c r="F24" s="335">
        <v>46413.0</v>
      </c>
      <c r="G24" s="229">
        <v>9000000.0</v>
      </c>
      <c r="H24" s="229">
        <v>1000000.0</v>
      </c>
      <c r="I24" s="258">
        <v>1000000.0</v>
      </c>
      <c r="J24" s="229"/>
      <c r="K24" s="231">
        <f t="shared" si="1"/>
        <v>11000000</v>
      </c>
      <c r="L24" s="233">
        <v>1.5</v>
      </c>
      <c r="M24" s="231">
        <f t="shared" ref="M24:M40" si="6">K24*L24</f>
        <v>16500000</v>
      </c>
      <c r="N24" s="231" t="s">
        <v>439</v>
      </c>
      <c r="O24" s="231">
        <v>1.85E7</v>
      </c>
      <c r="P24" s="231">
        <f t="shared" ref="P24:P59" si="7">O24-M24</f>
        <v>2000000</v>
      </c>
      <c r="Q24" s="240">
        <f t="shared" ref="Q24:Q59" si="8">P24/M24</f>
        <v>0.1212121212</v>
      </c>
      <c r="R24" s="291" t="str">
        <f t="shared" ref="R24:R59" si="9">IFS(
  Q24&lt;=-0, "Min",
  Q24&lt;=0.1, "Low",
  Q24&lt;=0.2, "Middle",
  Q24&lt;=0.4, "High",
  Q24&gt;0.4, "Very High"
)</f>
        <v>Middle</v>
      </c>
      <c r="S24" s="233"/>
      <c r="T24" s="233"/>
      <c r="U24" s="233"/>
    </row>
    <row r="25">
      <c r="A25" s="225" t="s">
        <v>10</v>
      </c>
      <c r="B25" s="227" t="s">
        <v>386</v>
      </c>
      <c r="C25" s="250" t="s">
        <v>319</v>
      </c>
      <c r="D25" s="301" t="s">
        <v>320</v>
      </c>
      <c r="E25" s="301" t="s">
        <v>52</v>
      </c>
      <c r="F25" s="338">
        <v>46288.0</v>
      </c>
      <c r="G25" s="229">
        <v>1.0713395E7</v>
      </c>
      <c r="H25" s="231">
        <v>1000000.0</v>
      </c>
      <c r="I25" s="252">
        <v>4000000.0</v>
      </c>
      <c r="J25" s="231"/>
      <c r="K25" s="231">
        <f t="shared" si="1"/>
        <v>15713395</v>
      </c>
      <c r="L25" s="255">
        <v>1.3</v>
      </c>
      <c r="M25" s="231">
        <f t="shared" si="6"/>
        <v>20427413.5</v>
      </c>
      <c r="N25" s="231">
        <v>2.5E7</v>
      </c>
      <c r="O25" s="252">
        <v>2.596E7</v>
      </c>
      <c r="P25" s="231">
        <f t="shared" si="7"/>
        <v>5532586.5</v>
      </c>
      <c r="Q25" s="240">
        <f t="shared" si="8"/>
        <v>0.2708412644</v>
      </c>
      <c r="R25" s="275" t="str">
        <f t="shared" si="9"/>
        <v>High</v>
      </c>
      <c r="S25" s="233"/>
      <c r="T25" s="233"/>
      <c r="U25" s="233"/>
    </row>
    <row r="26">
      <c r="A26" s="225" t="s">
        <v>10</v>
      </c>
      <c r="B26" s="227" t="s">
        <v>419</v>
      </c>
      <c r="C26" s="250" t="s">
        <v>319</v>
      </c>
      <c r="D26" s="301" t="s">
        <v>320</v>
      </c>
      <c r="E26" s="301" t="s">
        <v>52</v>
      </c>
      <c r="F26" s="338">
        <v>46288.0</v>
      </c>
      <c r="G26" s="340">
        <v>1.1296249E7</v>
      </c>
      <c r="H26" s="231">
        <v>1000000.0</v>
      </c>
      <c r="I26" s="252">
        <v>3500000.0</v>
      </c>
      <c r="J26" s="252" t="s">
        <v>422</v>
      </c>
      <c r="K26" s="231">
        <f t="shared" si="1"/>
        <v>15796249</v>
      </c>
      <c r="L26" s="255">
        <v>1.3</v>
      </c>
      <c r="M26" s="231">
        <f t="shared" si="6"/>
        <v>20535123.7</v>
      </c>
      <c r="N26" s="231">
        <v>2.5E7</v>
      </c>
      <c r="O26" s="252">
        <v>2.596E7</v>
      </c>
      <c r="P26" s="231">
        <f t="shared" si="7"/>
        <v>5424876.3</v>
      </c>
      <c r="Q26" s="240">
        <f t="shared" si="8"/>
        <v>0.2641754868</v>
      </c>
      <c r="R26" s="275" t="str">
        <f t="shared" si="9"/>
        <v>High</v>
      </c>
      <c r="S26" s="233"/>
      <c r="T26" s="233"/>
      <c r="U26" s="233"/>
    </row>
    <row r="27">
      <c r="A27" s="225" t="s">
        <v>10</v>
      </c>
      <c r="B27" s="250" t="s">
        <v>67</v>
      </c>
      <c r="C27" s="250" t="s">
        <v>319</v>
      </c>
      <c r="D27" s="301" t="s">
        <v>320</v>
      </c>
      <c r="E27" s="301" t="s">
        <v>52</v>
      </c>
      <c r="F27" s="251">
        <v>46121.0</v>
      </c>
      <c r="G27" s="252">
        <v>1.0056338E7</v>
      </c>
      <c r="H27" s="231">
        <v>1000000.0</v>
      </c>
      <c r="I27" s="252"/>
      <c r="J27" s="231"/>
      <c r="K27" s="231">
        <f t="shared" si="1"/>
        <v>11056338</v>
      </c>
      <c r="L27" s="255">
        <v>1.3</v>
      </c>
      <c r="M27" s="231">
        <f t="shared" si="6"/>
        <v>14373239.4</v>
      </c>
      <c r="N27" s="231">
        <v>2.5E7</v>
      </c>
      <c r="O27" s="252">
        <v>2.079E7</v>
      </c>
      <c r="P27" s="231">
        <f t="shared" si="7"/>
        <v>6416760.6</v>
      </c>
      <c r="Q27" s="240">
        <f t="shared" si="8"/>
        <v>0.4464380243</v>
      </c>
      <c r="R27" s="291" t="str">
        <f t="shared" si="9"/>
        <v>Very High</v>
      </c>
      <c r="S27" s="233"/>
      <c r="T27" s="233"/>
      <c r="U27" s="233"/>
    </row>
    <row r="28">
      <c r="A28" s="225" t="s">
        <v>10</v>
      </c>
      <c r="B28" s="267" t="s">
        <v>64</v>
      </c>
      <c r="C28" s="250" t="s">
        <v>319</v>
      </c>
      <c r="D28" s="301" t="s">
        <v>320</v>
      </c>
      <c r="E28" s="301" t="s">
        <v>52</v>
      </c>
      <c r="F28" s="251">
        <v>46211.0</v>
      </c>
      <c r="G28" s="229">
        <v>1.0713395E7</v>
      </c>
      <c r="H28" s="231">
        <v>1000000.0</v>
      </c>
      <c r="I28" s="231"/>
      <c r="J28" s="231"/>
      <c r="K28" s="231">
        <f t="shared" si="1"/>
        <v>11713395</v>
      </c>
      <c r="L28" s="255">
        <v>1.3</v>
      </c>
      <c r="M28" s="231">
        <f t="shared" si="6"/>
        <v>15227413.5</v>
      </c>
      <c r="N28" s="231">
        <v>2.5E7</v>
      </c>
      <c r="O28" s="252">
        <v>2.079E7</v>
      </c>
      <c r="P28" s="231">
        <f t="shared" si="7"/>
        <v>5562586.5</v>
      </c>
      <c r="Q28" s="240">
        <f t="shared" si="8"/>
        <v>0.3653008109</v>
      </c>
      <c r="R28" s="275" t="str">
        <f t="shared" si="9"/>
        <v>High</v>
      </c>
      <c r="S28" s="233"/>
      <c r="T28" s="233"/>
      <c r="U28" s="233"/>
    </row>
    <row r="29">
      <c r="A29" s="225" t="s">
        <v>10</v>
      </c>
      <c r="B29" s="267" t="s">
        <v>65</v>
      </c>
      <c r="C29" s="250" t="s">
        <v>319</v>
      </c>
      <c r="D29" s="301" t="s">
        <v>320</v>
      </c>
      <c r="E29" s="301" t="s">
        <v>52</v>
      </c>
      <c r="F29" s="251">
        <v>46216.0</v>
      </c>
      <c r="G29" s="229">
        <v>9482748.0</v>
      </c>
      <c r="H29" s="231">
        <v>1000000.0</v>
      </c>
      <c r="I29" s="252">
        <v>500000.0</v>
      </c>
      <c r="J29" s="231"/>
      <c r="K29" s="231">
        <f t="shared" si="1"/>
        <v>10982748</v>
      </c>
      <c r="L29" s="255">
        <v>1.3</v>
      </c>
      <c r="M29" s="231">
        <f t="shared" si="6"/>
        <v>14277572.4</v>
      </c>
      <c r="N29" s="231">
        <v>2.5E7</v>
      </c>
      <c r="O29" s="252">
        <v>2.079E7</v>
      </c>
      <c r="P29" s="231">
        <f t="shared" si="7"/>
        <v>6512427.6</v>
      </c>
      <c r="Q29" s="240">
        <f t="shared" si="8"/>
        <v>0.456129895</v>
      </c>
      <c r="R29" s="291" t="str">
        <f t="shared" si="9"/>
        <v>Very High</v>
      </c>
      <c r="S29" s="233"/>
      <c r="T29" s="233"/>
      <c r="U29" s="233"/>
    </row>
    <row r="30">
      <c r="A30" s="225" t="s">
        <v>10</v>
      </c>
      <c r="B30" s="267" t="s">
        <v>325</v>
      </c>
      <c r="C30" s="250" t="s">
        <v>319</v>
      </c>
      <c r="D30" s="301" t="s">
        <v>320</v>
      </c>
      <c r="E30" s="301" t="s">
        <v>52</v>
      </c>
      <c r="F30" s="251">
        <v>46223.0</v>
      </c>
      <c r="G30" s="42">
        <v>8926054.0</v>
      </c>
      <c r="H30" s="231">
        <v>1000000.0</v>
      </c>
      <c r="I30" s="42">
        <v>300000.0</v>
      </c>
      <c r="J30" s="231"/>
      <c r="K30" s="231">
        <f t="shared" si="1"/>
        <v>10226054</v>
      </c>
      <c r="L30" s="255">
        <v>1.3</v>
      </c>
      <c r="M30" s="231">
        <f t="shared" si="6"/>
        <v>13293870.2</v>
      </c>
      <c r="N30" s="231">
        <v>2.5E7</v>
      </c>
      <c r="O30" s="252">
        <v>2.079E7</v>
      </c>
      <c r="P30" s="231">
        <f t="shared" si="7"/>
        <v>7496129.8</v>
      </c>
      <c r="Q30" s="240">
        <f t="shared" si="8"/>
        <v>0.5638786664</v>
      </c>
      <c r="R30" s="291" t="str">
        <f t="shared" si="9"/>
        <v>Very High</v>
      </c>
      <c r="S30" s="233"/>
      <c r="T30" s="233"/>
      <c r="U30" s="233"/>
    </row>
    <row r="31">
      <c r="A31" s="225" t="s">
        <v>10</v>
      </c>
      <c r="B31" s="267" t="s">
        <v>66</v>
      </c>
      <c r="C31" s="250" t="s">
        <v>319</v>
      </c>
      <c r="D31" s="301" t="s">
        <v>320</v>
      </c>
      <c r="E31" s="301" t="s">
        <v>52</v>
      </c>
      <c r="F31" s="228">
        <v>46237.0</v>
      </c>
      <c r="G31" s="229">
        <v>1.0056338E7</v>
      </c>
      <c r="H31" s="231">
        <v>1000000.0</v>
      </c>
      <c r="I31" s="231">
        <v>300000.0</v>
      </c>
      <c r="J31" s="231"/>
      <c r="K31" s="231">
        <f t="shared" si="1"/>
        <v>11356338</v>
      </c>
      <c r="L31" s="255">
        <v>1.3</v>
      </c>
      <c r="M31" s="231">
        <f t="shared" si="6"/>
        <v>14763239.4</v>
      </c>
      <c r="N31" s="231">
        <v>2.5E7</v>
      </c>
      <c r="O31" s="252">
        <v>2.079E7</v>
      </c>
      <c r="P31" s="231">
        <f t="shared" si="7"/>
        <v>6026760.6</v>
      </c>
      <c r="Q31" s="240">
        <f t="shared" si="8"/>
        <v>0.4082275195</v>
      </c>
      <c r="R31" s="291" t="str">
        <f t="shared" si="9"/>
        <v>Very High</v>
      </c>
      <c r="S31" s="233"/>
      <c r="T31" s="233"/>
      <c r="U31" s="233"/>
    </row>
    <row r="32">
      <c r="A32" s="225" t="s">
        <v>10</v>
      </c>
      <c r="B32" s="267" t="s">
        <v>326</v>
      </c>
      <c r="C32" s="250" t="s">
        <v>319</v>
      </c>
      <c r="D32" s="301" t="s">
        <v>320</v>
      </c>
      <c r="E32" s="301" t="s">
        <v>52</v>
      </c>
      <c r="F32" s="251">
        <v>46246.0</v>
      </c>
      <c r="G32" s="229">
        <v>1.1E7</v>
      </c>
      <c r="H32" s="231">
        <v>1000000.0</v>
      </c>
      <c r="I32" s="252"/>
      <c r="J32" s="252" t="s">
        <v>402</v>
      </c>
      <c r="K32" s="231">
        <f t="shared" si="1"/>
        <v>12000000</v>
      </c>
      <c r="L32" s="255">
        <v>1.3</v>
      </c>
      <c r="M32" s="231">
        <f t="shared" si="6"/>
        <v>15600000</v>
      </c>
      <c r="N32" s="231">
        <v>2.5E7</v>
      </c>
      <c r="O32" s="252">
        <v>2.079E7</v>
      </c>
      <c r="P32" s="231">
        <f t="shared" si="7"/>
        <v>5190000</v>
      </c>
      <c r="Q32" s="240">
        <f t="shared" si="8"/>
        <v>0.3326923077</v>
      </c>
      <c r="R32" s="291" t="str">
        <f t="shared" si="9"/>
        <v>High</v>
      </c>
      <c r="S32" s="233"/>
      <c r="T32" s="233"/>
      <c r="U32" s="233"/>
    </row>
    <row r="33">
      <c r="A33" s="225" t="s">
        <v>10</v>
      </c>
      <c r="B33" s="256" t="s">
        <v>445</v>
      </c>
      <c r="C33" s="250" t="s">
        <v>319</v>
      </c>
      <c r="D33" s="301" t="s">
        <v>320</v>
      </c>
      <c r="E33" s="301" t="s">
        <v>52</v>
      </c>
      <c r="F33" s="251">
        <v>46246.0</v>
      </c>
      <c r="G33" s="229">
        <v>1.1E7</v>
      </c>
      <c r="H33" s="231">
        <v>1000000.0</v>
      </c>
      <c r="I33" s="252">
        <v>1000000.0</v>
      </c>
      <c r="J33" s="252" t="s">
        <v>446</v>
      </c>
      <c r="K33" s="231">
        <f t="shared" si="1"/>
        <v>13000000</v>
      </c>
      <c r="L33" s="255">
        <v>1.3</v>
      </c>
      <c r="M33" s="231">
        <f t="shared" si="6"/>
        <v>16900000</v>
      </c>
      <c r="N33" s="231">
        <v>2.5E7</v>
      </c>
      <c r="O33" s="252">
        <v>2.079E7</v>
      </c>
      <c r="P33" s="231">
        <f t="shared" si="7"/>
        <v>3890000</v>
      </c>
      <c r="Q33" s="240">
        <f t="shared" si="8"/>
        <v>0.2301775148</v>
      </c>
      <c r="R33" s="291" t="str">
        <f t="shared" si="9"/>
        <v>High</v>
      </c>
      <c r="S33" s="233"/>
      <c r="T33" s="233"/>
      <c r="U33" s="233"/>
    </row>
    <row r="34">
      <c r="A34" s="225" t="s">
        <v>10</v>
      </c>
      <c r="B34" s="250" t="s">
        <v>56</v>
      </c>
      <c r="C34" s="250" t="s">
        <v>319</v>
      </c>
      <c r="D34" s="301" t="s">
        <v>320</v>
      </c>
      <c r="E34" s="301" t="s">
        <v>52</v>
      </c>
      <c r="F34" s="338">
        <v>46278.0</v>
      </c>
      <c r="G34" s="262">
        <v>1.0056338E7</v>
      </c>
      <c r="H34" s="231">
        <v>1000000.0</v>
      </c>
      <c r="I34" s="231">
        <v>300000.0</v>
      </c>
      <c r="J34" s="231"/>
      <c r="K34" s="231">
        <f t="shared" si="1"/>
        <v>11356338</v>
      </c>
      <c r="L34" s="255">
        <v>1.3</v>
      </c>
      <c r="M34" s="231">
        <f t="shared" si="6"/>
        <v>14763239.4</v>
      </c>
      <c r="N34" s="231">
        <v>2.5E7</v>
      </c>
      <c r="O34" s="252">
        <v>2.079E7</v>
      </c>
      <c r="P34" s="231">
        <f t="shared" si="7"/>
        <v>6026760.6</v>
      </c>
      <c r="Q34" s="240">
        <f t="shared" si="8"/>
        <v>0.4082275195</v>
      </c>
      <c r="R34" s="291" t="str">
        <f t="shared" si="9"/>
        <v>Very High</v>
      </c>
      <c r="S34" s="233"/>
      <c r="T34" s="233"/>
      <c r="U34" s="233"/>
    </row>
    <row r="35">
      <c r="A35" s="225" t="s">
        <v>10</v>
      </c>
      <c r="B35" s="355" t="s">
        <v>62</v>
      </c>
      <c r="C35" s="250" t="s">
        <v>319</v>
      </c>
      <c r="D35" s="301" t="s">
        <v>320</v>
      </c>
      <c r="E35" s="301" t="s">
        <v>52</v>
      </c>
      <c r="F35" s="251">
        <v>46382.0</v>
      </c>
      <c r="G35" s="229">
        <v>8405962.0</v>
      </c>
      <c r="H35" s="231">
        <v>1000000.0</v>
      </c>
      <c r="I35" s="231">
        <v>800000.0</v>
      </c>
      <c r="J35" s="231" t="s">
        <v>438</v>
      </c>
      <c r="K35" s="231">
        <f t="shared" si="1"/>
        <v>10205962</v>
      </c>
      <c r="L35" s="255">
        <v>1.3</v>
      </c>
      <c r="M35" s="231">
        <f t="shared" si="6"/>
        <v>13267750.6</v>
      </c>
      <c r="N35" s="231">
        <v>2.5E7</v>
      </c>
      <c r="O35" s="252">
        <v>2.079E7</v>
      </c>
      <c r="P35" s="231">
        <f t="shared" si="7"/>
        <v>7522249.4</v>
      </c>
      <c r="Q35" s="240">
        <f t="shared" si="8"/>
        <v>0.5669574012</v>
      </c>
      <c r="R35" s="291" t="str">
        <f t="shared" si="9"/>
        <v>Very High</v>
      </c>
      <c r="S35" s="233"/>
      <c r="T35" s="233"/>
      <c r="U35" s="233"/>
    </row>
    <row r="36">
      <c r="A36" s="225" t="s">
        <v>10</v>
      </c>
      <c r="B36" s="250" t="s">
        <v>60</v>
      </c>
      <c r="C36" s="250" t="s">
        <v>319</v>
      </c>
      <c r="D36" s="301" t="s">
        <v>320</v>
      </c>
      <c r="E36" s="301" t="s">
        <v>52</v>
      </c>
      <c r="F36" s="338">
        <v>46548.0</v>
      </c>
      <c r="G36" s="262">
        <v>1.0700165E7</v>
      </c>
      <c r="H36" s="258">
        <v>1000000.0</v>
      </c>
      <c r="I36" s="258"/>
      <c r="J36" s="229"/>
      <c r="K36" s="231">
        <f t="shared" si="1"/>
        <v>11700165</v>
      </c>
      <c r="L36" s="255">
        <v>1.3</v>
      </c>
      <c r="M36" s="231">
        <f t="shared" si="6"/>
        <v>15210214.5</v>
      </c>
      <c r="N36" s="231">
        <v>2.5E7</v>
      </c>
      <c r="O36" s="252">
        <v>2.079E7</v>
      </c>
      <c r="P36" s="231">
        <f t="shared" si="7"/>
        <v>5579785.5</v>
      </c>
      <c r="Q36" s="240">
        <f t="shared" si="8"/>
        <v>0.3668446293</v>
      </c>
      <c r="R36" s="291" t="str">
        <f t="shared" si="9"/>
        <v>High</v>
      </c>
      <c r="S36" s="233"/>
      <c r="T36" s="233"/>
      <c r="U36" s="233"/>
    </row>
    <row r="37">
      <c r="A37" s="225" t="s">
        <v>10</v>
      </c>
      <c r="B37" s="250" t="s">
        <v>61</v>
      </c>
      <c r="C37" s="250" t="s">
        <v>319</v>
      </c>
      <c r="D37" s="301" t="s">
        <v>320</v>
      </c>
      <c r="E37" s="301" t="s">
        <v>52</v>
      </c>
      <c r="F37" s="359" t="s">
        <v>442</v>
      </c>
      <c r="G37" s="229">
        <v>1.0713395E7</v>
      </c>
      <c r="H37" s="231">
        <v>1000000.0</v>
      </c>
      <c r="I37" s="229">
        <v>500000.0</v>
      </c>
      <c r="J37" s="229"/>
      <c r="K37" s="231">
        <f t="shared" si="1"/>
        <v>12213395</v>
      </c>
      <c r="L37" s="255">
        <v>1.3</v>
      </c>
      <c r="M37" s="231">
        <f t="shared" si="6"/>
        <v>15877413.5</v>
      </c>
      <c r="N37" s="231">
        <v>2.5E7</v>
      </c>
      <c r="O37" s="252">
        <v>2.079E7</v>
      </c>
      <c r="P37" s="231">
        <f t="shared" si="7"/>
        <v>4912586.5</v>
      </c>
      <c r="Q37" s="240">
        <f t="shared" si="8"/>
        <v>0.3094072281</v>
      </c>
      <c r="R37" s="291" t="str">
        <f t="shared" si="9"/>
        <v>High</v>
      </c>
      <c r="S37" s="233"/>
      <c r="T37" s="233"/>
      <c r="U37" s="233"/>
    </row>
    <row r="38">
      <c r="A38" s="225" t="s">
        <v>10</v>
      </c>
      <c r="B38" s="227" t="s">
        <v>388</v>
      </c>
      <c r="C38" s="250" t="s">
        <v>319</v>
      </c>
      <c r="D38" s="301" t="s">
        <v>320</v>
      </c>
      <c r="E38" s="301" t="s">
        <v>52</v>
      </c>
      <c r="F38" s="359" t="s">
        <v>442</v>
      </c>
      <c r="G38" s="258">
        <v>5442000.0</v>
      </c>
      <c r="H38" s="231">
        <v>1000000.0</v>
      </c>
      <c r="I38" s="258"/>
      <c r="J38" s="229"/>
      <c r="K38" s="231">
        <f t="shared" si="1"/>
        <v>6442000</v>
      </c>
      <c r="L38" s="255">
        <v>1.3</v>
      </c>
      <c r="M38" s="231">
        <f t="shared" si="6"/>
        <v>8374600</v>
      </c>
      <c r="N38" s="231">
        <v>2.5E7</v>
      </c>
      <c r="O38" s="252">
        <v>2.079E7</v>
      </c>
      <c r="P38" s="231">
        <f t="shared" si="7"/>
        <v>12415400</v>
      </c>
      <c r="Q38" s="240">
        <f t="shared" si="8"/>
        <v>1.482506627</v>
      </c>
      <c r="R38" s="362" t="str">
        <f t="shared" si="9"/>
        <v>Very High</v>
      </c>
      <c r="S38" s="233"/>
      <c r="T38" s="233"/>
      <c r="U38" s="233"/>
    </row>
    <row r="39">
      <c r="A39" s="225" t="s">
        <v>10</v>
      </c>
      <c r="B39" s="227" t="s">
        <v>443</v>
      </c>
      <c r="C39" s="250" t="s">
        <v>319</v>
      </c>
      <c r="D39" s="301" t="s">
        <v>320</v>
      </c>
      <c r="E39" s="301" t="s">
        <v>52</v>
      </c>
      <c r="F39" s="359" t="s">
        <v>442</v>
      </c>
      <c r="G39" s="258">
        <v>5442000.0</v>
      </c>
      <c r="H39" s="231">
        <v>1000000.0</v>
      </c>
      <c r="I39" s="258">
        <v>1500000.0</v>
      </c>
      <c r="J39" s="229"/>
      <c r="K39" s="231">
        <f t="shared" si="1"/>
        <v>7942000</v>
      </c>
      <c r="L39" s="255">
        <v>1.3</v>
      </c>
      <c r="M39" s="231">
        <f t="shared" si="6"/>
        <v>10324600</v>
      </c>
      <c r="N39" s="231">
        <v>2.5E7</v>
      </c>
      <c r="O39" s="252">
        <v>2.079E7</v>
      </c>
      <c r="P39" s="231">
        <f t="shared" si="7"/>
        <v>10465400</v>
      </c>
      <c r="Q39" s="240">
        <f t="shared" si="8"/>
        <v>1.013637332</v>
      </c>
      <c r="R39" s="362" t="str">
        <f t="shared" si="9"/>
        <v>Very High</v>
      </c>
      <c r="S39" s="233"/>
      <c r="T39" s="233"/>
      <c r="U39" s="233"/>
    </row>
    <row r="40">
      <c r="A40" s="225" t="s">
        <v>10</v>
      </c>
      <c r="B40" s="227" t="s">
        <v>174</v>
      </c>
      <c r="C40" s="250" t="s">
        <v>319</v>
      </c>
      <c r="D40" s="301" t="s">
        <v>320</v>
      </c>
      <c r="E40" s="301" t="s">
        <v>52</v>
      </c>
      <c r="F40" s="359" t="s">
        <v>442</v>
      </c>
      <c r="G40" s="258">
        <v>5442000.0</v>
      </c>
      <c r="H40" s="231">
        <v>1000000.0</v>
      </c>
      <c r="I40" s="229">
        <v>500000.0</v>
      </c>
      <c r="J40" s="229"/>
      <c r="K40" s="231">
        <f t="shared" si="1"/>
        <v>6942000</v>
      </c>
      <c r="L40" s="255">
        <v>1.3</v>
      </c>
      <c r="M40" s="231">
        <f t="shared" si="6"/>
        <v>9024600</v>
      </c>
      <c r="N40" s="231">
        <v>2.5E7</v>
      </c>
      <c r="O40" s="252">
        <v>1.9291667E7</v>
      </c>
      <c r="P40" s="231">
        <f t="shared" si="7"/>
        <v>10267067</v>
      </c>
      <c r="Q40" s="240">
        <f t="shared" si="8"/>
        <v>1.137675576</v>
      </c>
      <c r="R40" s="362" t="str">
        <f t="shared" si="9"/>
        <v>Very High</v>
      </c>
      <c r="S40" s="233"/>
      <c r="T40" s="233"/>
      <c r="U40" s="233"/>
    </row>
    <row r="41" hidden="1">
      <c r="A41" s="225" t="s">
        <v>10</v>
      </c>
      <c r="B41" s="365" t="s">
        <v>465</v>
      </c>
      <c r="C41" s="366" t="s">
        <v>466</v>
      </c>
      <c r="D41" s="367" t="s">
        <v>153</v>
      </c>
      <c r="E41" s="368">
        <v>46125.0</v>
      </c>
      <c r="F41" s="370">
        <v>46278.0</v>
      </c>
      <c r="G41" s="42">
        <v>9500000.0</v>
      </c>
      <c r="H41" s="42">
        <v>1000000.0</v>
      </c>
      <c r="I41" s="42">
        <v>1000000.0</v>
      </c>
      <c r="J41" s="42">
        <f t="shared" ref="J41:J52" si="10">G41+H41+I41</f>
        <v>11500000</v>
      </c>
      <c r="K41" s="231">
        <f t="shared" si="1"/>
        <v>11500000</v>
      </c>
      <c r="L41" s="367">
        <v>1.4</v>
      </c>
      <c r="M41" s="42">
        <f t="shared" ref="M41:M52" si="11">J41*L41</f>
        <v>16100000</v>
      </c>
      <c r="N41" s="231" t="s">
        <v>362</v>
      </c>
      <c r="O41" s="42">
        <v>3.05E7</v>
      </c>
      <c r="P41" s="42">
        <f t="shared" si="7"/>
        <v>14400000</v>
      </c>
      <c r="Q41" s="371">
        <f t="shared" si="8"/>
        <v>0.8944099379</v>
      </c>
      <c r="R41" s="372" t="str">
        <f t="shared" si="9"/>
        <v>Very High</v>
      </c>
      <c r="S41" s="233"/>
      <c r="T41" s="233"/>
      <c r="U41" s="233"/>
    </row>
    <row r="42" hidden="1">
      <c r="A42" s="225" t="s">
        <v>10</v>
      </c>
      <c r="B42" s="365" t="s">
        <v>469</v>
      </c>
      <c r="C42" s="366" t="s">
        <v>466</v>
      </c>
      <c r="D42" s="367" t="s">
        <v>157</v>
      </c>
      <c r="E42" s="368">
        <v>46118.0</v>
      </c>
      <c r="F42" s="370">
        <v>46266.0</v>
      </c>
      <c r="G42" s="42">
        <v>1.075E7</v>
      </c>
      <c r="H42" s="42">
        <v>1000000.0</v>
      </c>
      <c r="I42" s="42">
        <v>500000.0</v>
      </c>
      <c r="J42" s="42">
        <f t="shared" si="10"/>
        <v>12250000</v>
      </c>
      <c r="K42" s="231">
        <f t="shared" si="1"/>
        <v>12250000</v>
      </c>
      <c r="L42" s="367">
        <v>1.4</v>
      </c>
      <c r="M42" s="42">
        <f t="shared" si="11"/>
        <v>17150000</v>
      </c>
      <c r="N42" s="231" t="s">
        <v>362</v>
      </c>
      <c r="O42" s="42">
        <v>3.05E7</v>
      </c>
      <c r="P42" s="42">
        <f t="shared" si="7"/>
        <v>13350000</v>
      </c>
      <c r="Q42" s="371">
        <f t="shared" si="8"/>
        <v>0.778425656</v>
      </c>
      <c r="R42" s="372" t="str">
        <f t="shared" si="9"/>
        <v>Very High</v>
      </c>
      <c r="S42" s="233"/>
      <c r="T42" s="233"/>
      <c r="U42" s="233"/>
    </row>
    <row r="43" hidden="1">
      <c r="A43" s="225" t="s">
        <v>10</v>
      </c>
      <c r="B43" s="365" t="s">
        <v>471</v>
      </c>
      <c r="C43" s="366" t="s">
        <v>466</v>
      </c>
      <c r="D43" s="367" t="s">
        <v>160</v>
      </c>
      <c r="E43" s="368">
        <v>46118.0</v>
      </c>
      <c r="F43" s="370">
        <v>46266.0</v>
      </c>
      <c r="G43" s="42">
        <v>1.075E7</v>
      </c>
      <c r="H43" s="42">
        <v>1000000.0</v>
      </c>
      <c r="I43" s="42">
        <v>1000000.0</v>
      </c>
      <c r="J43" s="42">
        <f t="shared" si="10"/>
        <v>12750000</v>
      </c>
      <c r="K43" s="231">
        <f t="shared" si="1"/>
        <v>12750000</v>
      </c>
      <c r="L43" s="367">
        <v>1.4</v>
      </c>
      <c r="M43" s="42">
        <f t="shared" si="11"/>
        <v>17850000</v>
      </c>
      <c r="N43" s="231" t="s">
        <v>362</v>
      </c>
      <c r="O43" s="42">
        <v>3.05E7</v>
      </c>
      <c r="P43" s="42">
        <f t="shared" si="7"/>
        <v>12650000</v>
      </c>
      <c r="Q43" s="371">
        <f t="shared" si="8"/>
        <v>0.7086834734</v>
      </c>
      <c r="R43" s="372" t="str">
        <f t="shared" si="9"/>
        <v>Very High</v>
      </c>
      <c r="S43" s="233"/>
      <c r="T43" s="233"/>
      <c r="U43" s="233"/>
    </row>
    <row r="44" hidden="1">
      <c r="A44" s="225" t="s">
        <v>10</v>
      </c>
      <c r="B44" s="375" t="s">
        <v>473</v>
      </c>
      <c r="C44" s="366" t="s">
        <v>466</v>
      </c>
      <c r="D44" s="367" t="s">
        <v>162</v>
      </c>
      <c r="E44" s="368">
        <v>46118.0</v>
      </c>
      <c r="F44" s="370">
        <v>46266.0</v>
      </c>
      <c r="G44" s="42">
        <v>9500000.0</v>
      </c>
      <c r="H44" s="42">
        <v>1000000.0</v>
      </c>
      <c r="I44" s="42">
        <v>0.0</v>
      </c>
      <c r="J44" s="42">
        <f t="shared" si="10"/>
        <v>10500000</v>
      </c>
      <c r="K44" s="231">
        <f t="shared" si="1"/>
        <v>10500000</v>
      </c>
      <c r="L44" s="367">
        <v>1.4</v>
      </c>
      <c r="M44" s="42">
        <f t="shared" si="11"/>
        <v>14700000</v>
      </c>
      <c r="N44" s="231" t="s">
        <v>362</v>
      </c>
      <c r="O44" s="42">
        <v>2.95E7</v>
      </c>
      <c r="P44" s="42">
        <f t="shared" si="7"/>
        <v>14800000</v>
      </c>
      <c r="Q44" s="371">
        <f t="shared" si="8"/>
        <v>1.006802721</v>
      </c>
      <c r="R44" s="372" t="str">
        <f t="shared" si="9"/>
        <v>Very High</v>
      </c>
      <c r="S44" s="233"/>
      <c r="T44" s="233"/>
      <c r="U44" s="233"/>
    </row>
    <row r="45" hidden="1">
      <c r="A45" s="225" t="s">
        <v>10</v>
      </c>
      <c r="B45" s="365" t="s">
        <v>475</v>
      </c>
      <c r="C45" s="366" t="s">
        <v>466</v>
      </c>
      <c r="D45" s="367" t="s">
        <v>162</v>
      </c>
      <c r="E45" s="368">
        <v>46118.0</v>
      </c>
      <c r="F45" s="370">
        <v>46266.0</v>
      </c>
      <c r="G45" s="42">
        <v>1.075E7</v>
      </c>
      <c r="H45" s="42">
        <v>1000000.0</v>
      </c>
      <c r="I45" s="42">
        <v>1000000.0</v>
      </c>
      <c r="J45" s="42">
        <f t="shared" si="10"/>
        <v>12750000</v>
      </c>
      <c r="K45" s="231">
        <f t="shared" si="1"/>
        <v>12750000</v>
      </c>
      <c r="L45" s="367">
        <v>1.4</v>
      </c>
      <c r="M45" s="42">
        <f t="shared" si="11"/>
        <v>17850000</v>
      </c>
      <c r="N45" s="231" t="s">
        <v>362</v>
      </c>
      <c r="O45" s="42">
        <v>2.95E7</v>
      </c>
      <c r="P45" s="42">
        <f t="shared" si="7"/>
        <v>11650000</v>
      </c>
      <c r="Q45" s="371">
        <f t="shared" si="8"/>
        <v>0.6526610644</v>
      </c>
      <c r="R45" s="372" t="str">
        <f t="shared" si="9"/>
        <v>Very High</v>
      </c>
      <c r="S45" s="233"/>
      <c r="T45" s="233"/>
      <c r="U45" s="233"/>
    </row>
    <row r="46" hidden="1">
      <c r="A46" s="225" t="s">
        <v>10</v>
      </c>
      <c r="B46" s="365" t="s">
        <v>480</v>
      </c>
      <c r="C46" s="366" t="s">
        <v>466</v>
      </c>
      <c r="D46" s="367" t="s">
        <v>165</v>
      </c>
      <c r="E46" s="368">
        <v>46118.0</v>
      </c>
      <c r="F46" s="370">
        <v>46266.0</v>
      </c>
      <c r="G46" s="42">
        <v>1.075E7</v>
      </c>
      <c r="H46" s="42">
        <v>1000000.0</v>
      </c>
      <c r="I46" s="42">
        <v>2000000.0</v>
      </c>
      <c r="J46" s="42">
        <f t="shared" si="10"/>
        <v>13750000</v>
      </c>
      <c r="K46" s="231">
        <f t="shared" si="1"/>
        <v>13750000</v>
      </c>
      <c r="L46" s="367">
        <v>1.4</v>
      </c>
      <c r="M46" s="42">
        <f t="shared" si="11"/>
        <v>19250000</v>
      </c>
      <c r="N46" s="231" t="s">
        <v>362</v>
      </c>
      <c r="O46" s="42">
        <v>3.6E7</v>
      </c>
      <c r="P46" s="42">
        <f t="shared" si="7"/>
        <v>16750000</v>
      </c>
      <c r="Q46" s="371">
        <f t="shared" si="8"/>
        <v>0.8701298701</v>
      </c>
      <c r="R46" s="372" t="str">
        <f t="shared" si="9"/>
        <v>Very High</v>
      </c>
      <c r="S46" s="233"/>
      <c r="T46" s="233"/>
      <c r="U46" s="233"/>
    </row>
    <row r="47" hidden="1">
      <c r="A47" s="225" t="s">
        <v>10</v>
      </c>
      <c r="B47" s="365" t="s">
        <v>379</v>
      </c>
      <c r="C47" s="366" t="s">
        <v>466</v>
      </c>
      <c r="D47" s="367" t="s">
        <v>165</v>
      </c>
      <c r="E47" s="368">
        <v>46118.0</v>
      </c>
      <c r="F47" s="370">
        <v>46273.0</v>
      </c>
      <c r="G47" s="42">
        <v>1.6659228E7</v>
      </c>
      <c r="H47" s="42">
        <v>1000000.0</v>
      </c>
      <c r="I47" s="42">
        <v>3000000.0</v>
      </c>
      <c r="J47" s="42">
        <f t="shared" si="10"/>
        <v>20659228</v>
      </c>
      <c r="K47" s="231">
        <f t="shared" si="1"/>
        <v>20659228</v>
      </c>
      <c r="L47" s="367">
        <v>1.4</v>
      </c>
      <c r="M47" s="42">
        <f t="shared" si="11"/>
        <v>28922919.2</v>
      </c>
      <c r="N47" s="231" t="s">
        <v>362</v>
      </c>
      <c r="O47" s="42">
        <v>3.6E7</v>
      </c>
      <c r="P47" s="42">
        <f t="shared" si="7"/>
        <v>7077080.8</v>
      </c>
      <c r="Q47" s="371">
        <f t="shared" si="8"/>
        <v>0.2446876386</v>
      </c>
      <c r="R47" s="380" t="str">
        <f t="shared" si="9"/>
        <v>High</v>
      </c>
      <c r="S47" s="233"/>
      <c r="T47" s="233"/>
      <c r="U47" s="233"/>
    </row>
    <row r="48" hidden="1">
      <c r="A48" s="225" t="s">
        <v>10</v>
      </c>
      <c r="B48" s="365" t="s">
        <v>481</v>
      </c>
      <c r="C48" s="366" t="s">
        <v>466</v>
      </c>
      <c r="D48" s="367" t="s">
        <v>169</v>
      </c>
      <c r="E48" s="368">
        <v>46118.0</v>
      </c>
      <c r="F48" s="370">
        <v>46266.0</v>
      </c>
      <c r="G48" s="42">
        <v>8441493.0</v>
      </c>
      <c r="H48" s="42">
        <v>1000000.0</v>
      </c>
      <c r="I48" s="42">
        <v>1000000.0</v>
      </c>
      <c r="J48" s="42">
        <f t="shared" si="10"/>
        <v>10441493</v>
      </c>
      <c r="K48" s="231">
        <f t="shared" si="1"/>
        <v>10441493</v>
      </c>
      <c r="L48" s="367">
        <v>1.4</v>
      </c>
      <c r="M48" s="42">
        <f t="shared" si="11"/>
        <v>14618090.2</v>
      </c>
      <c r="N48" s="231" t="s">
        <v>362</v>
      </c>
      <c r="O48" s="42">
        <v>3.0E7</v>
      </c>
      <c r="P48" s="42">
        <f t="shared" si="7"/>
        <v>15381909.8</v>
      </c>
      <c r="Q48" s="371">
        <f t="shared" si="8"/>
        <v>1.052251668</v>
      </c>
      <c r="R48" s="372" t="str">
        <f t="shared" si="9"/>
        <v>Very High</v>
      </c>
      <c r="S48" s="233"/>
      <c r="T48" s="233"/>
      <c r="U48" s="233"/>
    </row>
    <row r="49" hidden="1">
      <c r="A49" s="225" t="s">
        <v>10</v>
      </c>
      <c r="B49" s="365" t="s">
        <v>377</v>
      </c>
      <c r="C49" s="366" t="s">
        <v>466</v>
      </c>
      <c r="D49" s="367" t="s">
        <v>169</v>
      </c>
      <c r="E49" s="368">
        <v>46118.0</v>
      </c>
      <c r="F49" s="370">
        <v>46266.0</v>
      </c>
      <c r="G49" s="42">
        <v>5442000.0</v>
      </c>
      <c r="H49" s="42">
        <v>1000000.0</v>
      </c>
      <c r="I49" s="42">
        <v>1500000.0</v>
      </c>
      <c r="J49" s="42">
        <f t="shared" si="10"/>
        <v>7942000</v>
      </c>
      <c r="K49" s="231">
        <f t="shared" si="1"/>
        <v>7942000</v>
      </c>
      <c r="L49" s="367">
        <v>1.4</v>
      </c>
      <c r="M49" s="42">
        <f t="shared" si="11"/>
        <v>11118800</v>
      </c>
      <c r="N49" s="231" t="s">
        <v>362</v>
      </c>
      <c r="O49" s="42">
        <v>3.0E7</v>
      </c>
      <c r="P49" s="42">
        <f t="shared" si="7"/>
        <v>18881200</v>
      </c>
      <c r="Q49" s="371">
        <f t="shared" si="8"/>
        <v>1.698132892</v>
      </c>
      <c r="R49" s="372" t="str">
        <f t="shared" si="9"/>
        <v>Very High</v>
      </c>
      <c r="S49" s="233"/>
      <c r="T49" s="233"/>
      <c r="U49" s="233"/>
    </row>
    <row r="50" hidden="1">
      <c r="A50" s="225" t="s">
        <v>10</v>
      </c>
      <c r="B50" s="366" t="s">
        <v>381</v>
      </c>
      <c r="C50" s="366" t="s">
        <v>466</v>
      </c>
      <c r="D50" s="367" t="s">
        <v>169</v>
      </c>
      <c r="E50" s="368">
        <v>46118.0</v>
      </c>
      <c r="F50" s="370">
        <v>46266.0</v>
      </c>
      <c r="G50" s="18">
        <v>7210000.0</v>
      </c>
      <c r="H50" s="42">
        <v>1000000.0</v>
      </c>
      <c r="I50" s="42">
        <v>2000000.0</v>
      </c>
      <c r="J50" s="42">
        <f t="shared" si="10"/>
        <v>10210000</v>
      </c>
      <c r="K50" s="231">
        <f t="shared" si="1"/>
        <v>10210000</v>
      </c>
      <c r="L50" s="367">
        <v>1.4</v>
      </c>
      <c r="M50" s="42">
        <f t="shared" si="11"/>
        <v>14294000</v>
      </c>
      <c r="N50" s="231" t="s">
        <v>362</v>
      </c>
      <c r="O50" s="42">
        <v>3.0E7</v>
      </c>
      <c r="P50" s="42">
        <f t="shared" si="7"/>
        <v>15706000</v>
      </c>
      <c r="Q50" s="371">
        <f t="shared" si="8"/>
        <v>1.098782706</v>
      </c>
      <c r="R50" s="372" t="str">
        <f t="shared" si="9"/>
        <v>Very High</v>
      </c>
      <c r="S50" s="233"/>
      <c r="T50" s="233"/>
      <c r="U50" s="233"/>
    </row>
    <row r="51" hidden="1">
      <c r="A51" s="225" t="s">
        <v>10</v>
      </c>
      <c r="B51" s="381" t="s">
        <v>380</v>
      </c>
      <c r="C51" s="366" t="s">
        <v>483</v>
      </c>
      <c r="D51" s="367" t="s">
        <v>387</v>
      </c>
      <c r="E51" s="368">
        <v>46113.0</v>
      </c>
      <c r="F51" s="382">
        <v>46478.0</v>
      </c>
      <c r="G51" s="42">
        <v>1.075E7</v>
      </c>
      <c r="H51" s="42">
        <v>1000000.0</v>
      </c>
      <c r="I51" s="42">
        <v>4000000.0</v>
      </c>
      <c r="J51" s="42">
        <f t="shared" si="10"/>
        <v>15750000</v>
      </c>
      <c r="K51" s="42" t="s">
        <v>484</v>
      </c>
      <c r="L51" s="367">
        <v>1.4</v>
      </c>
      <c r="M51" s="42">
        <f t="shared" si="11"/>
        <v>22050000</v>
      </c>
      <c r="N51" s="231" t="s">
        <v>362</v>
      </c>
      <c r="O51" s="42">
        <v>3.2E7</v>
      </c>
      <c r="P51" s="42">
        <f t="shared" si="7"/>
        <v>9950000</v>
      </c>
      <c r="Q51" s="371">
        <f t="shared" si="8"/>
        <v>0.4512471655</v>
      </c>
      <c r="R51" s="372" t="str">
        <f t="shared" si="9"/>
        <v>Very High</v>
      </c>
      <c r="S51" s="233"/>
      <c r="T51" s="233"/>
      <c r="U51" s="233"/>
    </row>
    <row r="52" hidden="1">
      <c r="A52" s="225" t="s">
        <v>10</v>
      </c>
      <c r="B52" s="383" t="s">
        <v>359</v>
      </c>
      <c r="C52" s="366" t="s">
        <v>487</v>
      </c>
      <c r="D52" s="384" t="s">
        <v>360</v>
      </c>
      <c r="E52" s="368">
        <v>46113.0</v>
      </c>
      <c r="F52" s="382">
        <v>46414.0</v>
      </c>
      <c r="G52" s="42">
        <v>1.075E7</v>
      </c>
      <c r="H52" s="42">
        <v>1000000.0</v>
      </c>
      <c r="I52" s="42">
        <v>4000000.0</v>
      </c>
      <c r="J52" s="42">
        <f t="shared" si="10"/>
        <v>15750000</v>
      </c>
      <c r="K52" s="42" t="s">
        <v>484</v>
      </c>
      <c r="L52" s="367">
        <v>1.4</v>
      </c>
      <c r="M52" s="42">
        <f t="shared" si="11"/>
        <v>22050000</v>
      </c>
      <c r="N52" s="231" t="s">
        <v>362</v>
      </c>
      <c r="O52" s="42">
        <v>3.2E7</v>
      </c>
      <c r="P52" s="42">
        <f t="shared" si="7"/>
        <v>9950000</v>
      </c>
      <c r="Q52" s="371">
        <f t="shared" si="8"/>
        <v>0.4512471655</v>
      </c>
      <c r="R52" s="372" t="str">
        <f t="shared" si="9"/>
        <v>Very High</v>
      </c>
      <c r="S52" s="233"/>
      <c r="T52" s="233"/>
      <c r="U52" s="233"/>
    </row>
    <row r="53" hidden="1">
      <c r="A53" s="225" t="s">
        <v>10</v>
      </c>
      <c r="B53" s="385" t="s">
        <v>138</v>
      </c>
      <c r="C53" s="227" t="s">
        <v>331</v>
      </c>
      <c r="D53" s="306" t="s">
        <v>339</v>
      </c>
      <c r="E53" s="306" t="s">
        <v>479</v>
      </c>
      <c r="F53" s="386">
        <v>46322.0</v>
      </c>
      <c r="G53" s="258">
        <v>6500000.0</v>
      </c>
      <c r="H53" s="231"/>
      <c r="I53" s="231"/>
      <c r="J53" s="231"/>
      <c r="K53" s="231">
        <f t="shared" ref="K53:K59" si="12">G53+H53+I53</f>
        <v>6500000</v>
      </c>
      <c r="L53" s="233">
        <v>1.4</v>
      </c>
      <c r="M53" s="231">
        <f t="shared" ref="M53:M59" si="13">K53*L53</f>
        <v>9100000</v>
      </c>
      <c r="N53" s="231" t="s">
        <v>362</v>
      </c>
      <c r="O53" s="231">
        <v>2.2E7</v>
      </c>
      <c r="P53" s="231">
        <f t="shared" si="7"/>
        <v>12900000</v>
      </c>
      <c r="Q53" s="240">
        <f t="shared" si="8"/>
        <v>1.417582418</v>
      </c>
      <c r="R53" s="291" t="str">
        <f t="shared" si="9"/>
        <v>Very High</v>
      </c>
      <c r="S53" s="233"/>
      <c r="T53" s="233"/>
      <c r="U53" s="233"/>
    </row>
    <row r="54" hidden="1">
      <c r="A54" s="225" t="s">
        <v>10</v>
      </c>
      <c r="B54" s="390" t="s">
        <v>125</v>
      </c>
      <c r="C54" s="227" t="s">
        <v>331</v>
      </c>
      <c r="D54" s="306" t="s">
        <v>126</v>
      </c>
      <c r="E54" s="225"/>
      <c r="F54" s="386" t="s">
        <v>292</v>
      </c>
      <c r="G54" s="229">
        <v>1.1986097E7</v>
      </c>
      <c r="H54" s="231">
        <v>1000000.0</v>
      </c>
      <c r="I54" s="231"/>
      <c r="J54" s="231"/>
      <c r="K54" s="231">
        <f t="shared" si="12"/>
        <v>12986097</v>
      </c>
      <c r="L54" s="233">
        <v>1.4</v>
      </c>
      <c r="M54" s="231">
        <f t="shared" si="13"/>
        <v>18180535.8</v>
      </c>
      <c r="N54" s="231" t="s">
        <v>362</v>
      </c>
      <c r="O54" s="231">
        <v>2.2E7</v>
      </c>
      <c r="P54" s="231">
        <f t="shared" si="7"/>
        <v>3819464.2</v>
      </c>
      <c r="Q54" s="240">
        <f t="shared" si="8"/>
        <v>0.2100853485</v>
      </c>
      <c r="R54" s="291" t="str">
        <f t="shared" si="9"/>
        <v>High</v>
      </c>
      <c r="S54" s="233"/>
      <c r="T54" s="233"/>
      <c r="U54" s="233"/>
    </row>
    <row r="55" hidden="1">
      <c r="A55" s="225" t="s">
        <v>10</v>
      </c>
      <c r="B55" s="355" t="s">
        <v>129</v>
      </c>
      <c r="C55" s="227" t="s">
        <v>331</v>
      </c>
      <c r="D55" s="306" t="s">
        <v>131</v>
      </c>
      <c r="E55" s="225"/>
      <c r="F55" s="386" t="s">
        <v>292</v>
      </c>
      <c r="G55" s="229">
        <v>1.1986097E7</v>
      </c>
      <c r="H55" s="231">
        <v>1000000.0</v>
      </c>
      <c r="I55" s="231"/>
      <c r="J55" s="231" t="s">
        <v>491</v>
      </c>
      <c r="K55" s="231">
        <f t="shared" si="12"/>
        <v>12986097</v>
      </c>
      <c r="L55" s="233">
        <v>1.4</v>
      </c>
      <c r="M55" s="231">
        <f t="shared" si="13"/>
        <v>18180535.8</v>
      </c>
      <c r="N55" s="231" t="s">
        <v>362</v>
      </c>
      <c r="O55" s="231">
        <v>2.2E7</v>
      </c>
      <c r="P55" s="231">
        <f t="shared" si="7"/>
        <v>3819464.2</v>
      </c>
      <c r="Q55" s="240">
        <f t="shared" si="8"/>
        <v>0.2100853485</v>
      </c>
      <c r="R55" s="291" t="str">
        <f t="shared" si="9"/>
        <v>High</v>
      </c>
      <c r="S55" s="233"/>
      <c r="T55" s="233"/>
      <c r="U55" s="233"/>
    </row>
    <row r="56" hidden="1">
      <c r="A56" s="225" t="s">
        <v>10</v>
      </c>
      <c r="B56" s="390" t="s">
        <v>334</v>
      </c>
      <c r="C56" s="227" t="s">
        <v>331</v>
      </c>
      <c r="D56" s="306" t="s">
        <v>126</v>
      </c>
      <c r="E56" s="225"/>
      <c r="F56" s="386" t="s">
        <v>292</v>
      </c>
      <c r="G56" s="229">
        <v>1.1986097E7</v>
      </c>
      <c r="H56" s="231">
        <v>1000000.0</v>
      </c>
      <c r="I56" s="231"/>
      <c r="J56" s="231"/>
      <c r="K56" s="231">
        <f t="shared" si="12"/>
        <v>12986097</v>
      </c>
      <c r="L56" s="233">
        <v>1.4</v>
      </c>
      <c r="M56" s="231">
        <f t="shared" si="13"/>
        <v>18180535.8</v>
      </c>
      <c r="N56" s="231" t="s">
        <v>362</v>
      </c>
      <c r="O56" s="231">
        <v>2.2E7</v>
      </c>
      <c r="P56" s="231">
        <f t="shared" si="7"/>
        <v>3819464.2</v>
      </c>
      <c r="Q56" s="240">
        <f t="shared" si="8"/>
        <v>0.2100853485</v>
      </c>
      <c r="R56" s="291" t="str">
        <f t="shared" si="9"/>
        <v>High</v>
      </c>
      <c r="S56" s="233"/>
      <c r="T56" s="233"/>
      <c r="U56" s="233"/>
    </row>
    <row r="57" hidden="1">
      <c r="A57" s="225" t="s">
        <v>10</v>
      </c>
      <c r="B57" s="355" t="s">
        <v>129</v>
      </c>
      <c r="C57" s="227" t="s">
        <v>331</v>
      </c>
      <c r="D57" s="306" t="s">
        <v>131</v>
      </c>
      <c r="E57" s="225"/>
      <c r="F57" s="386" t="s">
        <v>292</v>
      </c>
      <c r="G57" s="229">
        <v>1.1986097E7</v>
      </c>
      <c r="H57" s="231">
        <v>1000000.0</v>
      </c>
      <c r="I57" s="231"/>
      <c r="J57" s="231"/>
      <c r="K57" s="231">
        <f t="shared" si="12"/>
        <v>12986097</v>
      </c>
      <c r="L57" s="233">
        <v>1.4</v>
      </c>
      <c r="M57" s="231">
        <f t="shared" si="13"/>
        <v>18180535.8</v>
      </c>
      <c r="N57" s="231" t="s">
        <v>362</v>
      </c>
      <c r="O57" s="231">
        <v>2.2E7</v>
      </c>
      <c r="P57" s="231">
        <f t="shared" si="7"/>
        <v>3819464.2</v>
      </c>
      <c r="Q57" s="240">
        <f t="shared" si="8"/>
        <v>0.2100853485</v>
      </c>
      <c r="R57" s="291" t="str">
        <f t="shared" si="9"/>
        <v>High</v>
      </c>
      <c r="S57" s="233"/>
      <c r="T57" s="233"/>
      <c r="U57" s="233"/>
    </row>
    <row r="58" hidden="1">
      <c r="A58" s="225" t="s">
        <v>10</v>
      </c>
      <c r="B58" s="390" t="s">
        <v>135</v>
      </c>
      <c r="C58" s="227" t="s">
        <v>331</v>
      </c>
      <c r="D58" s="306" t="s">
        <v>131</v>
      </c>
      <c r="E58" s="225"/>
      <c r="F58" s="386"/>
      <c r="G58" s="258">
        <v>9482748.0</v>
      </c>
      <c r="H58" s="231">
        <v>1000000.0</v>
      </c>
      <c r="I58" s="231"/>
      <c r="J58" s="231"/>
      <c r="K58" s="231">
        <f t="shared" si="12"/>
        <v>10482748</v>
      </c>
      <c r="L58" s="233">
        <v>1.4</v>
      </c>
      <c r="M58" s="231">
        <f t="shared" si="13"/>
        <v>14675847.2</v>
      </c>
      <c r="N58" s="231" t="s">
        <v>362</v>
      </c>
      <c r="O58" s="231">
        <v>2.2E7</v>
      </c>
      <c r="P58" s="231">
        <f t="shared" si="7"/>
        <v>7324152.8</v>
      </c>
      <c r="Q58" s="240">
        <f t="shared" si="8"/>
        <v>0.4990616692</v>
      </c>
      <c r="R58" s="291" t="str">
        <f t="shared" si="9"/>
        <v>Very High</v>
      </c>
      <c r="S58" s="233"/>
      <c r="T58" s="233"/>
      <c r="U58" s="233"/>
    </row>
    <row r="59" hidden="1">
      <c r="A59" s="225" t="s">
        <v>10</v>
      </c>
      <c r="B59" s="390" t="s">
        <v>395</v>
      </c>
      <c r="C59" s="227" t="s">
        <v>331</v>
      </c>
      <c r="D59" s="306" t="s">
        <v>338</v>
      </c>
      <c r="E59" s="225"/>
      <c r="F59" s="386"/>
      <c r="G59" s="229">
        <v>1.1986097E7</v>
      </c>
      <c r="H59" s="231">
        <v>1000000.0</v>
      </c>
      <c r="I59" s="231"/>
      <c r="J59" s="231"/>
      <c r="K59" s="231">
        <f t="shared" si="12"/>
        <v>12986097</v>
      </c>
      <c r="L59" s="233">
        <v>1.4</v>
      </c>
      <c r="M59" s="231">
        <f t="shared" si="13"/>
        <v>18180535.8</v>
      </c>
      <c r="N59" s="231" t="s">
        <v>362</v>
      </c>
      <c r="O59" s="231">
        <v>2.2E7</v>
      </c>
      <c r="P59" s="231">
        <f t="shared" si="7"/>
        <v>3819464.2</v>
      </c>
      <c r="Q59" s="240">
        <f t="shared" si="8"/>
        <v>0.2100853485</v>
      </c>
      <c r="R59" s="291" t="str">
        <f t="shared" si="9"/>
        <v>High</v>
      </c>
      <c r="S59" s="233"/>
      <c r="T59" s="233"/>
      <c r="U59" s="233"/>
    </row>
    <row r="61">
      <c r="B61" s="70" t="s">
        <v>428</v>
      </c>
      <c r="G61" s="392">
        <v>1.29366E7</v>
      </c>
      <c r="H61" s="393"/>
    </row>
    <row r="62">
      <c r="B62" s="70" t="s">
        <v>400</v>
      </c>
      <c r="G62" s="392">
        <v>1.1851099E7</v>
      </c>
      <c r="H62" s="392"/>
      <c r="I62" s="392">
        <v>2000000.0</v>
      </c>
    </row>
    <row r="63">
      <c r="B63" s="70" t="s">
        <v>429</v>
      </c>
      <c r="G63" s="392">
        <v>5442000.0</v>
      </c>
      <c r="H63" s="393"/>
    </row>
    <row r="64">
      <c r="B64" s="70" t="s">
        <v>430</v>
      </c>
      <c r="G64" s="392">
        <v>6792538.0</v>
      </c>
      <c r="H64" s="393"/>
    </row>
    <row r="65">
      <c r="B65" s="70" t="s">
        <v>431</v>
      </c>
      <c r="G65" s="392">
        <v>7859008.0</v>
      </c>
      <c r="H65" s="393"/>
    </row>
    <row r="66">
      <c r="B66" s="70" t="s">
        <v>432</v>
      </c>
      <c r="G66" s="392">
        <v>9482748.0</v>
      </c>
      <c r="H66" s="393"/>
    </row>
    <row r="67">
      <c r="B67" s="2" t="s">
        <v>433</v>
      </c>
      <c r="G67" s="2" t="s">
        <v>492</v>
      </c>
    </row>
  </sheetData>
  <autoFilter ref="$A$1:$U$59">
    <filterColumn colId="2">
      <filters>
        <filter val="PERMATA"/>
      </filters>
    </filterColumn>
    <sortState ref="A1:U59">
      <sortCondition ref="C1:C59"/>
      <sortCondition ref="F1:F59"/>
    </sortState>
  </autoFil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9.63"/>
    <col customWidth="1" min="2" max="2" width="34.25"/>
    <col customWidth="1" min="3" max="3" width="15.13"/>
    <col customWidth="1" min="4" max="4" width="27.75"/>
    <col customWidth="1" min="5" max="5" width="23.5"/>
    <col customWidth="1" min="6" max="6" width="19.38"/>
    <col customWidth="1" min="7" max="7" width="19.0"/>
    <col customWidth="1" min="8" max="9" width="20.63"/>
    <col customWidth="1" min="10" max="10" width="16.5"/>
    <col customWidth="1" min="11" max="11" width="20.13"/>
    <col customWidth="1" min="12" max="12" width="10.38"/>
    <col customWidth="1" min="13" max="13" width="14.38"/>
    <col customWidth="1" min="14" max="14" width="18.13"/>
    <col customWidth="1" min="15" max="15" width="18.5"/>
    <col customWidth="1" min="16" max="16" width="20.88"/>
    <col customWidth="1" min="18" max="18" width="18.38"/>
    <col customWidth="1" min="19" max="19" width="22.0"/>
    <col customWidth="1" min="20" max="20" width="20.75"/>
    <col customWidth="1" min="21" max="21" width="18.88"/>
  </cols>
  <sheetData>
    <row r="1">
      <c r="A1" s="162" t="s">
        <v>2</v>
      </c>
      <c r="B1" s="162" t="s">
        <v>238</v>
      </c>
      <c r="C1" s="162" t="s">
        <v>248</v>
      </c>
      <c r="D1" s="236"/>
      <c r="E1" s="162" t="s">
        <v>240</v>
      </c>
      <c r="F1" s="162" t="s">
        <v>242</v>
      </c>
      <c r="G1" s="162" t="s">
        <v>243</v>
      </c>
      <c r="H1" s="162" t="s">
        <v>244</v>
      </c>
      <c r="I1" s="162" t="s">
        <v>245</v>
      </c>
      <c r="J1" s="162" t="s">
        <v>9</v>
      </c>
      <c r="K1" s="162" t="s">
        <v>246</v>
      </c>
      <c r="L1" s="162" t="s">
        <v>247</v>
      </c>
      <c r="M1" s="162" t="s">
        <v>249</v>
      </c>
      <c r="N1" s="162" t="s">
        <v>250</v>
      </c>
      <c r="O1" s="162" t="s">
        <v>252</v>
      </c>
      <c r="P1" s="162" t="s">
        <v>253</v>
      </c>
      <c r="Q1" s="162" t="s">
        <v>254</v>
      </c>
      <c r="R1" s="162" t="s">
        <v>255</v>
      </c>
      <c r="S1" s="162" t="s">
        <v>256</v>
      </c>
      <c r="T1" s="162" t="s">
        <v>257</v>
      </c>
      <c r="U1" s="242" t="s">
        <v>259</v>
      </c>
    </row>
    <row r="2">
      <c r="A2" s="172" t="s">
        <v>10</v>
      </c>
      <c r="B2" s="243" t="s">
        <v>262</v>
      </c>
      <c r="C2" s="173" t="s">
        <v>348</v>
      </c>
      <c r="D2" s="172" t="s">
        <v>264</v>
      </c>
      <c r="E2" s="172" t="s">
        <v>265</v>
      </c>
      <c r="F2" s="175">
        <v>46176.0</v>
      </c>
      <c r="G2" s="245">
        <v>7859100.0</v>
      </c>
      <c r="H2" s="245">
        <v>1000000.0</v>
      </c>
      <c r="I2" s="247"/>
      <c r="J2" s="247"/>
      <c r="K2" s="245">
        <f t="shared" ref="K2:K66" si="1">G2+H2+I2</f>
        <v>8859100</v>
      </c>
      <c r="L2" s="253">
        <v>1.5</v>
      </c>
      <c r="M2" s="245">
        <f t="shared" ref="M2:M34" si="2">K2*L2</f>
        <v>13288650</v>
      </c>
      <c r="N2" s="245">
        <v>2.2387E7</v>
      </c>
      <c r="O2" s="245">
        <f t="shared" ref="O2:O5" si="3">(N2/1.11)*98%</f>
        <v>19765099.1</v>
      </c>
      <c r="P2" s="245">
        <f t="shared" ref="P2:P34" si="4">O2-M2</f>
        <v>6476449.099</v>
      </c>
      <c r="Q2" s="259">
        <f t="shared" ref="Q2:Q34" si="5">P2/M2</f>
        <v>0.487366971</v>
      </c>
      <c r="R2" s="263" t="str">
        <f t="shared" ref="R2:R34" si="6">IFS(
  Q2&lt;=-0, "Min",
  Q2&lt;=0.1, "Low",
  Q2&lt;=0.2, "Middle",
  Q2&lt;=0.4, "High",
  Q2&gt;0.4, "Very High"
)</f>
        <v>Very High</v>
      </c>
      <c r="S2" s="203"/>
      <c r="T2" s="203"/>
      <c r="U2" s="203"/>
    </row>
    <row r="3">
      <c r="A3" s="172" t="s">
        <v>15</v>
      </c>
      <c r="B3" s="264" t="s">
        <v>31</v>
      </c>
      <c r="C3" s="174" t="s">
        <v>348</v>
      </c>
      <c r="D3" s="172" t="s">
        <v>264</v>
      </c>
      <c r="E3" s="172" t="s">
        <v>32</v>
      </c>
      <c r="F3" s="175">
        <v>46266.0</v>
      </c>
      <c r="G3" s="265">
        <v>8000000.0</v>
      </c>
      <c r="H3" s="245">
        <v>1000000.0</v>
      </c>
      <c r="I3" s="245"/>
      <c r="J3" s="247"/>
      <c r="K3" s="245">
        <f t="shared" si="1"/>
        <v>9000000</v>
      </c>
      <c r="L3" s="253">
        <v>1.5</v>
      </c>
      <c r="M3" s="245">
        <f t="shared" si="2"/>
        <v>13500000</v>
      </c>
      <c r="N3" s="245">
        <v>2.2387E7</v>
      </c>
      <c r="O3" s="245">
        <f t="shared" si="3"/>
        <v>19765099.1</v>
      </c>
      <c r="P3" s="245">
        <f t="shared" si="4"/>
        <v>6265099.099</v>
      </c>
      <c r="Q3" s="259">
        <f t="shared" si="5"/>
        <v>0.4640814147</v>
      </c>
      <c r="R3" s="263" t="str">
        <f t="shared" si="6"/>
        <v>Very High</v>
      </c>
      <c r="S3" s="203"/>
      <c r="T3" s="203"/>
      <c r="U3" s="203"/>
    </row>
    <row r="4">
      <c r="A4" s="172" t="s">
        <v>10</v>
      </c>
      <c r="B4" s="173" t="s">
        <v>24</v>
      </c>
      <c r="C4" s="174" t="s">
        <v>348</v>
      </c>
      <c r="D4" s="172" t="s">
        <v>268</v>
      </c>
      <c r="E4" s="172" t="s">
        <v>25</v>
      </c>
      <c r="F4" s="268">
        <v>46142.0</v>
      </c>
      <c r="G4" s="265">
        <v>8405962.0</v>
      </c>
      <c r="H4" s="245">
        <v>1000000.0</v>
      </c>
      <c r="I4" s="245"/>
      <c r="J4" s="247"/>
      <c r="K4" s="245">
        <f t="shared" si="1"/>
        <v>9405962</v>
      </c>
      <c r="L4" s="253">
        <v>1.4</v>
      </c>
      <c r="M4" s="245">
        <f t="shared" si="2"/>
        <v>13168346.8</v>
      </c>
      <c r="N4" s="245">
        <v>2.2E7</v>
      </c>
      <c r="O4" s="245">
        <f t="shared" si="3"/>
        <v>19423423.42</v>
      </c>
      <c r="P4" s="245">
        <f t="shared" si="4"/>
        <v>6255076.623</v>
      </c>
      <c r="Q4" s="259">
        <f t="shared" si="5"/>
        <v>0.4750084972</v>
      </c>
      <c r="R4" s="263" t="str">
        <f t="shared" si="6"/>
        <v>Very High</v>
      </c>
      <c r="S4" s="203"/>
      <c r="T4" s="203"/>
      <c r="U4" s="203"/>
    </row>
    <row r="5">
      <c r="A5" s="172" t="s">
        <v>10</v>
      </c>
      <c r="B5" s="173" t="s">
        <v>270</v>
      </c>
      <c r="C5" s="174" t="s">
        <v>348</v>
      </c>
      <c r="D5" s="172" t="s">
        <v>268</v>
      </c>
      <c r="E5" s="172" t="s">
        <v>25</v>
      </c>
      <c r="F5" s="268">
        <v>46142.0</v>
      </c>
      <c r="G5" s="265">
        <v>7335074.0</v>
      </c>
      <c r="H5" s="245">
        <v>1000000.0</v>
      </c>
      <c r="I5" s="245"/>
      <c r="J5" s="247"/>
      <c r="K5" s="245">
        <f t="shared" si="1"/>
        <v>8335074</v>
      </c>
      <c r="L5" s="253">
        <v>1.4</v>
      </c>
      <c r="M5" s="245">
        <f t="shared" si="2"/>
        <v>11669103.6</v>
      </c>
      <c r="N5" s="245">
        <v>2.2E7</v>
      </c>
      <c r="O5" s="245">
        <f t="shared" si="3"/>
        <v>19423423.42</v>
      </c>
      <c r="P5" s="245">
        <f t="shared" si="4"/>
        <v>7754319.823</v>
      </c>
      <c r="Q5" s="259">
        <f t="shared" si="5"/>
        <v>0.6645171805</v>
      </c>
      <c r="R5" s="263" t="str">
        <f t="shared" si="6"/>
        <v>Very High</v>
      </c>
      <c r="S5" s="203"/>
      <c r="T5" s="203"/>
      <c r="U5" s="203"/>
    </row>
    <row r="6">
      <c r="A6" s="172" t="s">
        <v>15</v>
      </c>
      <c r="B6" s="173" t="s">
        <v>76</v>
      </c>
      <c r="C6" s="173" t="s">
        <v>272</v>
      </c>
      <c r="D6" s="172" t="s">
        <v>273</v>
      </c>
      <c r="E6" s="172" t="s">
        <v>274</v>
      </c>
      <c r="F6" s="178">
        <v>46123.0</v>
      </c>
      <c r="G6" s="271">
        <v>7331379.0</v>
      </c>
      <c r="H6" s="245">
        <v>1000000.0</v>
      </c>
      <c r="I6" s="272">
        <v>500000.0</v>
      </c>
      <c r="J6" s="273" t="s">
        <v>324</v>
      </c>
      <c r="K6" s="245">
        <f t="shared" si="1"/>
        <v>8831379</v>
      </c>
      <c r="L6" s="274">
        <v>1.4</v>
      </c>
      <c r="M6" s="245">
        <f t="shared" si="2"/>
        <v>12363930.6</v>
      </c>
      <c r="N6" s="245">
        <v>2.2E7</v>
      </c>
      <c r="O6" s="245">
        <v>1.98E7</v>
      </c>
      <c r="P6" s="245">
        <f t="shared" si="4"/>
        <v>7436069.4</v>
      </c>
      <c r="Q6" s="259">
        <f t="shared" si="5"/>
        <v>0.6014324765</v>
      </c>
      <c r="R6" s="263" t="str">
        <f t="shared" si="6"/>
        <v>Very High</v>
      </c>
      <c r="S6" s="203"/>
      <c r="T6" s="203"/>
      <c r="U6" s="203"/>
    </row>
    <row r="7">
      <c r="A7" s="172" t="s">
        <v>15</v>
      </c>
      <c r="B7" s="278" t="s">
        <v>75</v>
      </c>
      <c r="C7" s="173" t="s">
        <v>272</v>
      </c>
      <c r="D7" s="172" t="s">
        <v>279</v>
      </c>
      <c r="E7" s="172" t="s">
        <v>274</v>
      </c>
      <c r="F7" s="178">
        <v>46214.0</v>
      </c>
      <c r="G7" s="281">
        <v>7855049.0</v>
      </c>
      <c r="H7" s="245">
        <v>1000000.0</v>
      </c>
      <c r="I7" s="245">
        <v>500000.0</v>
      </c>
      <c r="J7" s="245" t="s">
        <v>333</v>
      </c>
      <c r="K7" s="245">
        <f t="shared" si="1"/>
        <v>9355049</v>
      </c>
      <c r="L7" s="274">
        <v>1.4</v>
      </c>
      <c r="M7" s="245">
        <f t="shared" si="2"/>
        <v>13097068.6</v>
      </c>
      <c r="N7" s="245">
        <v>2.0E7</v>
      </c>
      <c r="O7" s="245">
        <v>1.98E7</v>
      </c>
      <c r="P7" s="245">
        <f t="shared" si="4"/>
        <v>6702931.4</v>
      </c>
      <c r="Q7" s="259">
        <f t="shared" si="5"/>
        <v>0.5117886761</v>
      </c>
      <c r="R7" s="263" t="str">
        <f t="shared" si="6"/>
        <v>Very High</v>
      </c>
      <c r="S7" s="284">
        <v>0.2</v>
      </c>
      <c r="T7" s="203"/>
      <c r="U7" s="203"/>
    </row>
    <row r="8">
      <c r="A8" s="172" t="s">
        <v>15</v>
      </c>
      <c r="B8" s="285" t="s">
        <v>365</v>
      </c>
      <c r="C8" s="173" t="s">
        <v>272</v>
      </c>
      <c r="D8" s="172" t="s">
        <v>279</v>
      </c>
      <c r="E8" s="172" t="s">
        <v>274</v>
      </c>
      <c r="F8" s="178">
        <v>46214.0</v>
      </c>
      <c r="G8" s="281">
        <v>7855049.0</v>
      </c>
      <c r="H8" s="245">
        <v>1000000.0</v>
      </c>
      <c r="I8" s="272">
        <v>1300000.0</v>
      </c>
      <c r="J8" s="245"/>
      <c r="K8" s="245">
        <f t="shared" si="1"/>
        <v>10155049</v>
      </c>
      <c r="L8" s="274">
        <v>1.3</v>
      </c>
      <c r="M8" s="245">
        <f t="shared" si="2"/>
        <v>13201563.7</v>
      </c>
      <c r="N8" s="245">
        <v>2.0E7</v>
      </c>
      <c r="O8" s="245">
        <v>1.98E7</v>
      </c>
      <c r="P8" s="245">
        <f t="shared" si="4"/>
        <v>6598436.3</v>
      </c>
      <c r="Q8" s="259">
        <f t="shared" si="5"/>
        <v>0.4998223279</v>
      </c>
      <c r="R8" s="263" t="str">
        <f t="shared" si="6"/>
        <v>Very High</v>
      </c>
      <c r="S8" s="284"/>
      <c r="T8" s="203"/>
      <c r="U8" s="203"/>
    </row>
    <row r="9">
      <c r="A9" s="172" t="s">
        <v>15</v>
      </c>
      <c r="B9" s="285" t="s">
        <v>365</v>
      </c>
      <c r="C9" s="173" t="s">
        <v>272</v>
      </c>
      <c r="D9" s="172" t="s">
        <v>279</v>
      </c>
      <c r="E9" s="172" t="s">
        <v>274</v>
      </c>
      <c r="F9" s="178">
        <v>46214.0</v>
      </c>
      <c r="G9" s="281">
        <v>8400992.0</v>
      </c>
      <c r="H9" s="245">
        <v>1000000.0</v>
      </c>
      <c r="I9" s="272">
        <v>1000000.0</v>
      </c>
      <c r="J9" s="245" t="s">
        <v>333</v>
      </c>
      <c r="K9" s="245">
        <f t="shared" si="1"/>
        <v>10400992</v>
      </c>
      <c r="L9" s="274">
        <v>1.3</v>
      </c>
      <c r="M9" s="245">
        <f t="shared" si="2"/>
        <v>13521289.6</v>
      </c>
      <c r="N9" s="245">
        <v>2.0E7</v>
      </c>
      <c r="O9" s="245">
        <v>1.98E7</v>
      </c>
      <c r="P9" s="245">
        <f t="shared" si="4"/>
        <v>6278710.4</v>
      </c>
      <c r="Q9" s="259">
        <f t="shared" si="5"/>
        <v>0.4643573643</v>
      </c>
      <c r="R9" s="263" t="str">
        <f t="shared" si="6"/>
        <v>Very High</v>
      </c>
      <c r="S9" s="284"/>
      <c r="T9" s="203"/>
      <c r="U9" s="203"/>
    </row>
    <row r="10">
      <c r="A10" s="172" t="s">
        <v>10</v>
      </c>
      <c r="B10" s="278" t="s">
        <v>71</v>
      </c>
      <c r="C10" s="173" t="s">
        <v>272</v>
      </c>
      <c r="D10" s="172" t="s">
        <v>280</v>
      </c>
      <c r="E10" s="172" t="s">
        <v>274</v>
      </c>
      <c r="F10" s="178">
        <v>46233.0</v>
      </c>
      <c r="G10" s="265">
        <v>5168566.0</v>
      </c>
      <c r="H10" s="245">
        <v>1000000.0</v>
      </c>
      <c r="I10" s="247"/>
      <c r="J10" s="247"/>
      <c r="K10" s="245">
        <f t="shared" si="1"/>
        <v>6168566</v>
      </c>
      <c r="L10" s="253">
        <v>1.5</v>
      </c>
      <c r="M10" s="245">
        <f t="shared" si="2"/>
        <v>9252849</v>
      </c>
      <c r="N10" s="245">
        <v>2.0E7</v>
      </c>
      <c r="O10" s="245">
        <v>1.98E7</v>
      </c>
      <c r="P10" s="245">
        <f t="shared" si="4"/>
        <v>10547151</v>
      </c>
      <c r="Q10" s="259">
        <f t="shared" si="5"/>
        <v>1.139881457</v>
      </c>
      <c r="R10" s="263" t="str">
        <f t="shared" si="6"/>
        <v>Very High</v>
      </c>
      <c r="S10" s="203"/>
      <c r="T10" s="203"/>
      <c r="U10" s="203"/>
    </row>
    <row r="11">
      <c r="A11" s="172" t="s">
        <v>10</v>
      </c>
      <c r="B11" s="285" t="s">
        <v>366</v>
      </c>
      <c r="C11" s="173" t="s">
        <v>272</v>
      </c>
      <c r="D11" s="172" t="s">
        <v>280</v>
      </c>
      <c r="E11" s="172" t="s">
        <v>274</v>
      </c>
      <c r="F11" s="178">
        <v>46233.0</v>
      </c>
      <c r="G11" s="296">
        <v>6800000.0</v>
      </c>
      <c r="H11" s="245">
        <v>1000000.0</v>
      </c>
      <c r="I11" s="273">
        <v>500000.0</v>
      </c>
      <c r="J11" s="247"/>
      <c r="K11" s="245">
        <f t="shared" si="1"/>
        <v>8300000</v>
      </c>
      <c r="L11" s="253">
        <v>1.5</v>
      </c>
      <c r="M11" s="245">
        <f t="shared" si="2"/>
        <v>12450000</v>
      </c>
      <c r="N11" s="245">
        <v>2.0E7</v>
      </c>
      <c r="O11" s="245">
        <v>1.98E7</v>
      </c>
      <c r="P11" s="245">
        <f t="shared" si="4"/>
        <v>7350000</v>
      </c>
      <c r="Q11" s="259">
        <f t="shared" si="5"/>
        <v>0.5903614458</v>
      </c>
      <c r="R11" s="263" t="str">
        <f t="shared" si="6"/>
        <v>Very High</v>
      </c>
      <c r="S11" s="203"/>
      <c r="T11" s="203"/>
      <c r="U11" s="203"/>
    </row>
    <row r="12">
      <c r="A12" s="172" t="s">
        <v>15</v>
      </c>
      <c r="B12" s="173" t="s">
        <v>276</v>
      </c>
      <c r="C12" s="173" t="s">
        <v>272</v>
      </c>
      <c r="D12" s="172" t="s">
        <v>351</v>
      </c>
      <c r="E12" s="172" t="s">
        <v>314</v>
      </c>
      <c r="F12" s="184">
        <v>46320.0</v>
      </c>
      <c r="G12" s="300">
        <v>6789705.0</v>
      </c>
      <c r="H12" s="265">
        <v>1000000.0</v>
      </c>
      <c r="I12" s="265">
        <v>500000.0</v>
      </c>
      <c r="J12" s="302"/>
      <c r="K12" s="245">
        <f t="shared" si="1"/>
        <v>8289705</v>
      </c>
      <c r="L12" s="253">
        <v>1.5</v>
      </c>
      <c r="M12" s="245">
        <f t="shared" si="2"/>
        <v>12434557.5</v>
      </c>
      <c r="N12" s="245">
        <v>2.14E7</v>
      </c>
      <c r="O12" s="245">
        <v>1.98E7</v>
      </c>
      <c r="P12" s="245">
        <f t="shared" si="4"/>
        <v>7365442.5</v>
      </c>
      <c r="Q12" s="259">
        <f t="shared" si="5"/>
        <v>0.5923365186</v>
      </c>
      <c r="R12" s="263" t="str">
        <f t="shared" si="6"/>
        <v>Very High</v>
      </c>
      <c r="S12" s="203"/>
      <c r="T12" s="203"/>
      <c r="U12" s="203"/>
    </row>
    <row r="13">
      <c r="A13" s="172" t="s">
        <v>10</v>
      </c>
      <c r="B13" s="304" t="s">
        <v>85</v>
      </c>
      <c r="C13" s="173" t="s">
        <v>272</v>
      </c>
      <c r="D13" s="172" t="s">
        <v>351</v>
      </c>
      <c r="E13" s="172" t="s">
        <v>369</v>
      </c>
      <c r="F13" s="178" t="s">
        <v>370</v>
      </c>
      <c r="G13" s="265">
        <v>5715000.0</v>
      </c>
      <c r="H13" s="265">
        <v>1000000.0</v>
      </c>
      <c r="I13" s="265"/>
      <c r="J13" s="302"/>
      <c r="K13" s="245">
        <f t="shared" si="1"/>
        <v>6715000</v>
      </c>
      <c r="L13" s="253">
        <v>1.5</v>
      </c>
      <c r="M13" s="245">
        <f t="shared" si="2"/>
        <v>10072500</v>
      </c>
      <c r="N13" s="271">
        <v>2.14E7</v>
      </c>
      <c r="O13" s="245">
        <v>1.98E7</v>
      </c>
      <c r="P13" s="245">
        <f t="shared" si="4"/>
        <v>9727500</v>
      </c>
      <c r="Q13" s="259">
        <f t="shared" si="5"/>
        <v>0.9657483246</v>
      </c>
      <c r="R13" s="263" t="str">
        <f t="shared" si="6"/>
        <v>Very High</v>
      </c>
      <c r="S13" s="203"/>
      <c r="T13" s="203"/>
      <c r="U13" s="203"/>
    </row>
    <row r="14">
      <c r="A14" s="172" t="s">
        <v>10</v>
      </c>
      <c r="B14" s="174" t="s">
        <v>393</v>
      </c>
      <c r="C14" s="173" t="s">
        <v>272</v>
      </c>
      <c r="D14" s="172" t="s">
        <v>351</v>
      </c>
      <c r="E14" s="172" t="s">
        <v>369</v>
      </c>
      <c r="F14" s="178" t="s">
        <v>370</v>
      </c>
      <c r="G14" s="308">
        <v>6250884.0</v>
      </c>
      <c r="H14" s="265">
        <v>1000000.0</v>
      </c>
      <c r="I14" s="296">
        <v>300000.0</v>
      </c>
      <c r="J14" s="302"/>
      <c r="K14" s="245">
        <f t="shared" si="1"/>
        <v>7550884</v>
      </c>
      <c r="L14" s="274">
        <v>1.4</v>
      </c>
      <c r="M14" s="245">
        <f t="shared" si="2"/>
        <v>10571237.6</v>
      </c>
      <c r="N14" s="271">
        <v>2.14E7</v>
      </c>
      <c r="O14" s="245">
        <v>1.98E7</v>
      </c>
      <c r="P14" s="245">
        <f t="shared" si="4"/>
        <v>9228762.4</v>
      </c>
      <c r="Q14" s="259">
        <f t="shared" si="5"/>
        <v>0.8730068086</v>
      </c>
      <c r="R14" s="263" t="str">
        <f t="shared" si="6"/>
        <v>Very High</v>
      </c>
      <c r="S14" s="203"/>
      <c r="T14" s="203"/>
      <c r="U14" s="203"/>
    </row>
    <row r="15">
      <c r="A15" s="172" t="s">
        <v>10</v>
      </c>
      <c r="B15" s="173" t="s">
        <v>281</v>
      </c>
      <c r="C15" s="173" t="s">
        <v>282</v>
      </c>
      <c r="D15" s="172" t="s">
        <v>280</v>
      </c>
      <c r="E15" s="172" t="s">
        <v>283</v>
      </c>
      <c r="F15" s="175">
        <v>46239.0</v>
      </c>
      <c r="G15" s="296">
        <v>8200000.0</v>
      </c>
      <c r="H15" s="245">
        <v>1000000.0</v>
      </c>
      <c r="I15" s="245">
        <v>500000.0</v>
      </c>
      <c r="J15" s="247"/>
      <c r="K15" s="245">
        <f t="shared" si="1"/>
        <v>9700000</v>
      </c>
      <c r="L15" s="274">
        <v>1.4</v>
      </c>
      <c r="M15" s="245">
        <f t="shared" si="2"/>
        <v>13580000</v>
      </c>
      <c r="N15" s="245">
        <v>2.0E7</v>
      </c>
      <c r="O15" s="245">
        <v>1.98E7</v>
      </c>
      <c r="P15" s="245">
        <f t="shared" si="4"/>
        <v>6220000</v>
      </c>
      <c r="Q15" s="259">
        <f t="shared" si="5"/>
        <v>0.4580265096</v>
      </c>
      <c r="R15" s="263" t="str">
        <f t="shared" si="6"/>
        <v>Very High</v>
      </c>
      <c r="S15" s="203"/>
      <c r="T15" s="203"/>
      <c r="U15" s="203"/>
    </row>
    <row r="16">
      <c r="A16" s="172" t="s">
        <v>15</v>
      </c>
      <c r="B16" s="173" t="s">
        <v>284</v>
      </c>
      <c r="C16" s="173" t="s">
        <v>285</v>
      </c>
      <c r="D16" s="172" t="s">
        <v>111</v>
      </c>
      <c r="E16" s="172" t="s">
        <v>286</v>
      </c>
      <c r="F16" s="175">
        <v>46234.0</v>
      </c>
      <c r="G16" s="265">
        <v>8300000.0</v>
      </c>
      <c r="H16" s="245">
        <v>1000000.0</v>
      </c>
      <c r="I16" s="245">
        <v>500000.0</v>
      </c>
      <c r="J16" s="273" t="s">
        <v>324</v>
      </c>
      <c r="K16" s="245">
        <f t="shared" si="1"/>
        <v>9800000</v>
      </c>
      <c r="L16" s="253">
        <v>1.4</v>
      </c>
      <c r="M16" s="245">
        <f t="shared" si="2"/>
        <v>13720000</v>
      </c>
      <c r="N16" s="245">
        <v>2.2E7</v>
      </c>
      <c r="O16" s="245">
        <v>2.2E7</v>
      </c>
      <c r="P16" s="245">
        <f t="shared" si="4"/>
        <v>8280000</v>
      </c>
      <c r="Q16" s="259">
        <f t="shared" si="5"/>
        <v>0.6034985423</v>
      </c>
      <c r="R16" s="263" t="str">
        <f t="shared" si="6"/>
        <v>Very High</v>
      </c>
      <c r="S16" s="203"/>
      <c r="T16" s="203"/>
      <c r="U16" s="203"/>
    </row>
    <row r="17">
      <c r="A17" s="172" t="s">
        <v>15</v>
      </c>
      <c r="B17" s="190" t="s">
        <v>116</v>
      </c>
      <c r="C17" s="173" t="s">
        <v>285</v>
      </c>
      <c r="D17" s="172" t="s">
        <v>287</v>
      </c>
      <c r="E17" s="172" t="s">
        <v>19</v>
      </c>
      <c r="F17" s="175">
        <v>46223.0</v>
      </c>
      <c r="G17" s="265">
        <v>8926054.0</v>
      </c>
      <c r="H17" s="245">
        <v>1000000.0</v>
      </c>
      <c r="I17" s="245">
        <v>500000.0</v>
      </c>
      <c r="J17" s="245" t="s">
        <v>374</v>
      </c>
      <c r="K17" s="245">
        <f t="shared" si="1"/>
        <v>10426054</v>
      </c>
      <c r="L17" s="253">
        <v>1.4</v>
      </c>
      <c r="M17" s="245">
        <f t="shared" si="2"/>
        <v>14596475.6</v>
      </c>
      <c r="N17" s="245">
        <v>1.7E7</v>
      </c>
      <c r="O17" s="245">
        <v>1.7E7</v>
      </c>
      <c r="P17" s="245">
        <f t="shared" si="4"/>
        <v>2403524.4</v>
      </c>
      <c r="Q17" s="259">
        <f t="shared" si="5"/>
        <v>0.1646647085</v>
      </c>
      <c r="R17" s="323" t="str">
        <f t="shared" si="6"/>
        <v>Middle</v>
      </c>
      <c r="S17" s="203"/>
      <c r="T17" s="203"/>
      <c r="U17" s="203"/>
    </row>
    <row r="18">
      <c r="A18" s="172" t="s">
        <v>10</v>
      </c>
      <c r="B18" s="325" t="s">
        <v>119</v>
      </c>
      <c r="C18" s="173" t="s">
        <v>285</v>
      </c>
      <c r="D18" s="172" t="s">
        <v>111</v>
      </c>
      <c r="E18" s="188" t="s">
        <v>288</v>
      </c>
      <c r="F18" s="175">
        <v>46217.0</v>
      </c>
      <c r="G18" s="308">
        <v>6789705.0</v>
      </c>
      <c r="H18" s="308">
        <v>1000000.0</v>
      </c>
      <c r="I18" s="273">
        <v>300000.0</v>
      </c>
      <c r="J18" s="245" t="s">
        <v>376</v>
      </c>
      <c r="K18" s="245">
        <f t="shared" si="1"/>
        <v>8089705</v>
      </c>
      <c r="L18" s="253">
        <v>1.4</v>
      </c>
      <c r="M18" s="245">
        <f t="shared" si="2"/>
        <v>11325587</v>
      </c>
      <c r="N18" s="245">
        <v>2.2E7</v>
      </c>
      <c r="O18" s="245">
        <v>2.2E7</v>
      </c>
      <c r="P18" s="245">
        <f t="shared" si="4"/>
        <v>10674413</v>
      </c>
      <c r="Q18" s="259">
        <f t="shared" si="5"/>
        <v>0.9425041722</v>
      </c>
      <c r="R18" s="263" t="str">
        <f t="shared" si="6"/>
        <v>Very High</v>
      </c>
      <c r="S18" s="247"/>
      <c r="T18" s="203"/>
      <c r="U18" s="203"/>
    </row>
    <row r="19">
      <c r="A19" s="172" t="s">
        <v>10</v>
      </c>
      <c r="B19" s="328" t="s">
        <v>120</v>
      </c>
      <c r="C19" s="173" t="s">
        <v>285</v>
      </c>
      <c r="D19" s="172" t="s">
        <v>287</v>
      </c>
      <c r="E19" s="172" t="s">
        <v>289</v>
      </c>
      <c r="F19" s="175">
        <v>46217.0</v>
      </c>
      <c r="G19" s="245">
        <v>6789705.0</v>
      </c>
      <c r="H19" s="245">
        <v>1000000.0</v>
      </c>
      <c r="I19" s="247"/>
      <c r="J19" s="245" t="s">
        <v>314</v>
      </c>
      <c r="K19" s="245">
        <f t="shared" si="1"/>
        <v>7789705</v>
      </c>
      <c r="L19" s="253">
        <v>1.4</v>
      </c>
      <c r="M19" s="245">
        <f t="shared" si="2"/>
        <v>10905587</v>
      </c>
      <c r="N19" s="245">
        <v>1.5E7</v>
      </c>
      <c r="O19" s="245">
        <v>1.5E7</v>
      </c>
      <c r="P19" s="245">
        <f t="shared" si="4"/>
        <v>4094413</v>
      </c>
      <c r="Q19" s="259">
        <f t="shared" si="5"/>
        <v>0.3754417804</v>
      </c>
      <c r="R19" s="332" t="str">
        <f t="shared" si="6"/>
        <v>High</v>
      </c>
      <c r="S19" s="203"/>
      <c r="T19" s="203"/>
      <c r="U19" s="203"/>
    </row>
    <row r="20">
      <c r="A20" s="172" t="s">
        <v>10</v>
      </c>
      <c r="B20" s="328" t="s">
        <v>121</v>
      </c>
      <c r="C20" s="173" t="s">
        <v>285</v>
      </c>
      <c r="D20" s="172" t="s">
        <v>287</v>
      </c>
      <c r="E20" s="172" t="s">
        <v>289</v>
      </c>
      <c r="F20" s="175">
        <v>46217.0</v>
      </c>
      <c r="G20" s="245">
        <v>6789705.0</v>
      </c>
      <c r="H20" s="245">
        <v>1000000.0</v>
      </c>
      <c r="I20" s="247"/>
      <c r="J20" s="245" t="s">
        <v>314</v>
      </c>
      <c r="K20" s="245">
        <f t="shared" si="1"/>
        <v>7789705</v>
      </c>
      <c r="L20" s="253">
        <v>1.4</v>
      </c>
      <c r="M20" s="245">
        <f t="shared" si="2"/>
        <v>10905587</v>
      </c>
      <c r="N20" s="245">
        <v>1.5E7</v>
      </c>
      <c r="O20" s="245">
        <v>1.5E7</v>
      </c>
      <c r="P20" s="245">
        <f t="shared" si="4"/>
        <v>4094413</v>
      </c>
      <c r="Q20" s="259">
        <f t="shared" si="5"/>
        <v>0.3754417804</v>
      </c>
      <c r="R20" s="332" t="str">
        <f t="shared" si="6"/>
        <v>High</v>
      </c>
      <c r="S20" s="203"/>
      <c r="T20" s="203"/>
      <c r="U20" s="203"/>
    </row>
    <row r="21">
      <c r="A21" s="172" t="s">
        <v>15</v>
      </c>
      <c r="B21" s="173" t="s">
        <v>290</v>
      </c>
      <c r="C21" s="173" t="s">
        <v>285</v>
      </c>
      <c r="D21" s="172" t="s">
        <v>111</v>
      </c>
      <c r="E21" s="172" t="s">
        <v>291</v>
      </c>
      <c r="F21" s="178" t="s">
        <v>292</v>
      </c>
      <c r="G21" s="245">
        <v>1.0E7</v>
      </c>
      <c r="H21" s="245">
        <v>1000000.0</v>
      </c>
      <c r="I21" s="247"/>
      <c r="J21" s="245" t="s">
        <v>340</v>
      </c>
      <c r="K21" s="245">
        <f t="shared" si="1"/>
        <v>11000000</v>
      </c>
      <c r="L21" s="253">
        <v>1.4</v>
      </c>
      <c r="M21" s="245">
        <f t="shared" si="2"/>
        <v>15400000</v>
      </c>
      <c r="N21" s="245">
        <v>2.2E7</v>
      </c>
      <c r="O21" s="245">
        <v>2.2E7</v>
      </c>
      <c r="P21" s="245">
        <f t="shared" si="4"/>
        <v>6600000</v>
      </c>
      <c r="Q21" s="259">
        <f t="shared" si="5"/>
        <v>0.4285714286</v>
      </c>
      <c r="R21" s="263" t="str">
        <f t="shared" si="6"/>
        <v>Very High</v>
      </c>
      <c r="S21" s="203"/>
      <c r="T21" s="203"/>
      <c r="U21" s="203"/>
    </row>
    <row r="22">
      <c r="A22" s="172" t="s">
        <v>10</v>
      </c>
      <c r="B22" s="243" t="s">
        <v>122</v>
      </c>
      <c r="C22" s="173" t="s">
        <v>285</v>
      </c>
      <c r="D22" s="172" t="s">
        <v>111</v>
      </c>
      <c r="E22" s="188" t="s">
        <v>288</v>
      </c>
      <c r="F22" s="334" t="s">
        <v>292</v>
      </c>
      <c r="G22" s="271">
        <v>7331379.0</v>
      </c>
      <c r="H22" s="265">
        <v>1000000.0</v>
      </c>
      <c r="I22" s="265">
        <v>2000000.0</v>
      </c>
      <c r="J22" s="245" t="s">
        <v>376</v>
      </c>
      <c r="K22" s="245">
        <f t="shared" si="1"/>
        <v>10331379</v>
      </c>
      <c r="L22" s="253">
        <v>1.3</v>
      </c>
      <c r="M22" s="245">
        <f t="shared" si="2"/>
        <v>13430792.7</v>
      </c>
      <c r="N22" s="245">
        <v>2.7E7</v>
      </c>
      <c r="O22" s="245">
        <v>2.7E7</v>
      </c>
      <c r="P22" s="245">
        <f t="shared" si="4"/>
        <v>13569207.3</v>
      </c>
      <c r="Q22" s="259">
        <f t="shared" si="5"/>
        <v>1.010305765</v>
      </c>
      <c r="R22" s="263" t="str">
        <f t="shared" si="6"/>
        <v>Very High</v>
      </c>
      <c r="S22" s="203"/>
      <c r="T22" s="203"/>
      <c r="U22" s="203"/>
    </row>
    <row r="23">
      <c r="A23" s="172" t="s">
        <v>10</v>
      </c>
      <c r="B23" s="173" t="s">
        <v>80</v>
      </c>
      <c r="C23" s="173" t="s">
        <v>319</v>
      </c>
      <c r="D23" s="207" t="s">
        <v>320</v>
      </c>
      <c r="E23" s="207" t="s">
        <v>320</v>
      </c>
      <c r="F23" s="178">
        <v>46241.0</v>
      </c>
      <c r="G23" s="265">
        <v>1.0713395E7</v>
      </c>
      <c r="H23" s="245">
        <v>1000000.0</v>
      </c>
      <c r="I23" s="245"/>
      <c r="J23" s="247"/>
      <c r="K23" s="245">
        <f t="shared" si="1"/>
        <v>11713395</v>
      </c>
      <c r="L23" s="253">
        <v>1.4</v>
      </c>
      <c r="M23" s="245">
        <f t="shared" si="2"/>
        <v>16398753</v>
      </c>
      <c r="N23" s="245">
        <v>2.185E7</v>
      </c>
      <c r="O23" s="272">
        <v>2.06682E7</v>
      </c>
      <c r="P23" s="245">
        <f t="shared" si="4"/>
        <v>4269447</v>
      </c>
      <c r="Q23" s="259">
        <f t="shared" si="5"/>
        <v>0.2603519304</v>
      </c>
      <c r="R23" s="332" t="str">
        <f t="shared" si="6"/>
        <v>High</v>
      </c>
      <c r="S23" s="203"/>
      <c r="T23" s="203"/>
      <c r="U23" s="203"/>
    </row>
    <row r="24">
      <c r="A24" s="172" t="s">
        <v>10</v>
      </c>
      <c r="B24" s="173" t="s">
        <v>391</v>
      </c>
      <c r="C24" s="173" t="s">
        <v>304</v>
      </c>
      <c r="D24" s="172" t="s">
        <v>305</v>
      </c>
      <c r="E24" s="172" t="s">
        <v>90</v>
      </c>
      <c r="F24" s="179" t="s">
        <v>292</v>
      </c>
      <c r="G24" s="265">
        <v>8926054.0</v>
      </c>
      <c r="H24" s="245">
        <v>1000000.0</v>
      </c>
      <c r="I24" s="336">
        <v>1500000.0</v>
      </c>
      <c r="J24" s="247"/>
      <c r="K24" s="245">
        <f t="shared" si="1"/>
        <v>11426054</v>
      </c>
      <c r="L24" s="253">
        <v>1.4</v>
      </c>
      <c r="M24" s="245">
        <f t="shared" si="2"/>
        <v>15996475.6</v>
      </c>
      <c r="N24" s="245">
        <v>2.26E7</v>
      </c>
      <c r="O24" s="245">
        <v>1.8288E7</v>
      </c>
      <c r="P24" s="245">
        <f t="shared" si="4"/>
        <v>2291524.4</v>
      </c>
      <c r="Q24" s="259">
        <f t="shared" si="5"/>
        <v>0.1432518298</v>
      </c>
      <c r="R24" s="323" t="str">
        <f t="shared" si="6"/>
        <v>Middle</v>
      </c>
      <c r="S24" s="203"/>
      <c r="T24" s="203"/>
      <c r="U24" s="203"/>
    </row>
    <row r="25">
      <c r="A25" s="172" t="s">
        <v>10</v>
      </c>
      <c r="B25" s="243" t="s">
        <v>440</v>
      </c>
      <c r="C25" s="173" t="s">
        <v>304</v>
      </c>
      <c r="D25" s="172" t="s">
        <v>305</v>
      </c>
      <c r="E25" s="172" t="s">
        <v>90</v>
      </c>
      <c r="F25" s="175">
        <v>46166.0</v>
      </c>
      <c r="G25" s="271">
        <v>1.0056338E7</v>
      </c>
      <c r="H25" s="245">
        <v>1000000.0</v>
      </c>
      <c r="I25" s="247"/>
      <c r="J25" s="247"/>
      <c r="K25" s="245">
        <f t="shared" si="1"/>
        <v>11056338</v>
      </c>
      <c r="L25" s="253">
        <v>1.4</v>
      </c>
      <c r="M25" s="245">
        <f t="shared" si="2"/>
        <v>15478873.2</v>
      </c>
      <c r="N25" s="245">
        <v>2.26E7</v>
      </c>
      <c r="O25" s="245">
        <v>1.8288E7</v>
      </c>
      <c r="P25" s="245">
        <f t="shared" si="4"/>
        <v>2809126.8</v>
      </c>
      <c r="Q25" s="259">
        <f t="shared" si="5"/>
        <v>0.1814813497</v>
      </c>
      <c r="R25" s="323" t="str">
        <f t="shared" si="6"/>
        <v>Middle</v>
      </c>
      <c r="S25" s="203"/>
      <c r="T25" s="203"/>
      <c r="U25" s="203"/>
    </row>
    <row r="26">
      <c r="A26" s="172" t="s">
        <v>10</v>
      </c>
      <c r="B26" s="243" t="s">
        <v>441</v>
      </c>
      <c r="C26" s="173" t="s">
        <v>304</v>
      </c>
      <c r="D26" s="172" t="s">
        <v>305</v>
      </c>
      <c r="E26" s="172" t="s">
        <v>90</v>
      </c>
      <c r="F26" s="175">
        <v>46166.0</v>
      </c>
      <c r="G26" s="265">
        <v>8400992.0</v>
      </c>
      <c r="H26" s="245">
        <v>1000000.0</v>
      </c>
      <c r="I26" s="247"/>
      <c r="J26" s="247"/>
      <c r="K26" s="245">
        <f t="shared" si="1"/>
        <v>9400992</v>
      </c>
      <c r="L26" s="253">
        <v>1.4</v>
      </c>
      <c r="M26" s="245">
        <f t="shared" si="2"/>
        <v>13161388.8</v>
      </c>
      <c r="N26" s="245">
        <v>2.26E7</v>
      </c>
      <c r="O26" s="245">
        <v>1.8288E7</v>
      </c>
      <c r="P26" s="245">
        <f t="shared" si="4"/>
        <v>5126611.2</v>
      </c>
      <c r="Q26" s="259">
        <f t="shared" si="5"/>
        <v>0.3895190149</v>
      </c>
      <c r="R26" s="332" t="str">
        <f t="shared" si="6"/>
        <v>High</v>
      </c>
      <c r="S26" s="203"/>
      <c r="T26" s="203"/>
      <c r="U26" s="203"/>
    </row>
    <row r="27">
      <c r="A27" s="172" t="s">
        <v>10</v>
      </c>
      <c r="B27" s="243" t="s">
        <v>94</v>
      </c>
      <c r="C27" s="173" t="s">
        <v>304</v>
      </c>
      <c r="D27" s="172" t="s">
        <v>305</v>
      </c>
      <c r="E27" s="172" t="s">
        <v>90</v>
      </c>
      <c r="F27" s="178">
        <v>46217.0</v>
      </c>
      <c r="G27" s="271">
        <v>1.0056338E7</v>
      </c>
      <c r="H27" s="245">
        <v>1000000.0</v>
      </c>
      <c r="I27" s="245">
        <v>1000000.0</v>
      </c>
      <c r="J27" s="247"/>
      <c r="K27" s="245">
        <f t="shared" si="1"/>
        <v>12056338</v>
      </c>
      <c r="L27" s="253">
        <v>1.4</v>
      </c>
      <c r="M27" s="245">
        <f t="shared" si="2"/>
        <v>16878873.2</v>
      </c>
      <c r="N27" s="245">
        <v>2.26E7</v>
      </c>
      <c r="O27" s="272">
        <v>2.6E7</v>
      </c>
      <c r="P27" s="245">
        <f t="shared" si="4"/>
        <v>9121126.8</v>
      </c>
      <c r="Q27" s="259">
        <f t="shared" si="5"/>
        <v>0.5403871865</v>
      </c>
      <c r="R27" s="342" t="str">
        <f t="shared" si="6"/>
        <v>Very High</v>
      </c>
      <c r="S27" s="203"/>
      <c r="T27" s="203"/>
      <c r="U27" s="203"/>
    </row>
    <row r="28">
      <c r="A28" s="172" t="s">
        <v>10</v>
      </c>
      <c r="B28" s="343" t="s">
        <v>411</v>
      </c>
      <c r="C28" s="173" t="s">
        <v>304</v>
      </c>
      <c r="D28" s="172" t="s">
        <v>305</v>
      </c>
      <c r="E28" s="172" t="s">
        <v>90</v>
      </c>
      <c r="F28" s="178">
        <v>46217.0</v>
      </c>
      <c r="G28" s="265">
        <v>1.0713395E7</v>
      </c>
      <c r="H28" s="245">
        <v>1000000.0</v>
      </c>
      <c r="I28" s="245">
        <v>1000000.0</v>
      </c>
      <c r="J28" s="247"/>
      <c r="K28" s="245">
        <f t="shared" si="1"/>
        <v>12713395</v>
      </c>
      <c r="L28" s="253">
        <v>1.4</v>
      </c>
      <c r="M28" s="245">
        <f t="shared" si="2"/>
        <v>17798753</v>
      </c>
      <c r="N28" s="245">
        <v>2.26E7</v>
      </c>
      <c r="O28" s="272">
        <v>2.6E7</v>
      </c>
      <c r="P28" s="245">
        <f t="shared" si="4"/>
        <v>8201247</v>
      </c>
      <c r="Q28" s="259">
        <f t="shared" si="5"/>
        <v>0.4607764937</v>
      </c>
      <c r="R28" s="342" t="str">
        <f t="shared" si="6"/>
        <v>Very High</v>
      </c>
      <c r="S28" s="203"/>
      <c r="T28" s="203"/>
      <c r="U28" s="203"/>
    </row>
    <row r="29">
      <c r="A29" s="172" t="s">
        <v>10</v>
      </c>
      <c r="B29" s="343" t="s">
        <v>411</v>
      </c>
      <c r="C29" s="173" t="s">
        <v>304</v>
      </c>
      <c r="D29" s="172" t="s">
        <v>305</v>
      </c>
      <c r="E29" s="172" t="s">
        <v>90</v>
      </c>
      <c r="F29" s="178">
        <v>46217.0</v>
      </c>
      <c r="G29" s="271">
        <v>1.0056338E7</v>
      </c>
      <c r="H29" s="245">
        <v>1000000.0</v>
      </c>
      <c r="I29" s="272">
        <v>1800000.0</v>
      </c>
      <c r="J29" s="247"/>
      <c r="K29" s="245">
        <f t="shared" si="1"/>
        <v>12856338</v>
      </c>
      <c r="L29" s="253">
        <v>1.4</v>
      </c>
      <c r="M29" s="245">
        <f t="shared" si="2"/>
        <v>17998873.2</v>
      </c>
      <c r="N29" s="245">
        <v>2.26E7</v>
      </c>
      <c r="O29" s="272">
        <v>2.6E7</v>
      </c>
      <c r="P29" s="245">
        <f t="shared" si="4"/>
        <v>8001126.8</v>
      </c>
      <c r="Q29" s="259">
        <f t="shared" si="5"/>
        <v>0.4445348723</v>
      </c>
      <c r="R29" s="342" t="str">
        <f t="shared" si="6"/>
        <v>Very High</v>
      </c>
      <c r="S29" s="203"/>
      <c r="T29" s="203"/>
      <c r="U29" s="203"/>
    </row>
    <row r="30">
      <c r="A30" s="172" t="s">
        <v>10</v>
      </c>
      <c r="B30" s="346" t="s">
        <v>309</v>
      </c>
      <c r="C30" s="173" t="s">
        <v>304</v>
      </c>
      <c r="D30" s="172" t="s">
        <v>305</v>
      </c>
      <c r="E30" s="172" t="s">
        <v>311</v>
      </c>
      <c r="F30" s="178">
        <v>46235.0</v>
      </c>
      <c r="G30" s="271">
        <v>1.0056338E7</v>
      </c>
      <c r="H30" s="245">
        <v>1000000.0</v>
      </c>
      <c r="I30" s="245">
        <v>1500000.0</v>
      </c>
      <c r="J30" s="247"/>
      <c r="K30" s="245">
        <f t="shared" si="1"/>
        <v>12556338</v>
      </c>
      <c r="L30" s="253">
        <v>1.4</v>
      </c>
      <c r="M30" s="245">
        <f t="shared" si="2"/>
        <v>17578873.2</v>
      </c>
      <c r="N30" s="272">
        <v>2.38E7</v>
      </c>
      <c r="O30" s="245">
        <f>(N31/1.11)*98%</f>
        <v>21012612.61</v>
      </c>
      <c r="P30" s="245">
        <f t="shared" si="4"/>
        <v>3433739.413</v>
      </c>
      <c r="Q30" s="259">
        <f t="shared" si="5"/>
        <v>0.1953333057</v>
      </c>
      <c r="R30" s="332" t="str">
        <f t="shared" si="6"/>
        <v>Middle</v>
      </c>
      <c r="S30" s="247"/>
      <c r="T30" s="203"/>
      <c r="U30" s="203"/>
    </row>
    <row r="31">
      <c r="A31" s="172" t="s">
        <v>10</v>
      </c>
      <c r="B31" s="348" t="s">
        <v>416</v>
      </c>
      <c r="C31" s="173" t="s">
        <v>304</v>
      </c>
      <c r="D31" s="172" t="s">
        <v>305</v>
      </c>
      <c r="E31" s="172" t="s">
        <v>311</v>
      </c>
      <c r="F31" s="178">
        <v>46235.0</v>
      </c>
      <c r="G31" s="349">
        <v>1.0700338E7</v>
      </c>
      <c r="H31" s="245">
        <v>1000000.0</v>
      </c>
      <c r="I31" s="272">
        <v>2500000.0</v>
      </c>
      <c r="J31" s="247"/>
      <c r="K31" s="245">
        <f t="shared" si="1"/>
        <v>14200338</v>
      </c>
      <c r="L31" s="253">
        <v>1.4</v>
      </c>
      <c r="M31" s="245">
        <f t="shared" si="2"/>
        <v>19880473.2</v>
      </c>
      <c r="N31" s="272">
        <v>2.38E7</v>
      </c>
      <c r="O31" s="272">
        <f t="shared" ref="O31:O32" si="7">(N31/1.11)*98%</f>
        <v>21012612.61</v>
      </c>
      <c r="P31" s="245">
        <f t="shared" si="4"/>
        <v>1132139.413</v>
      </c>
      <c r="Q31" s="259">
        <f t="shared" si="5"/>
        <v>0.0569473071</v>
      </c>
      <c r="R31" s="342" t="str">
        <f t="shared" si="6"/>
        <v>Low</v>
      </c>
      <c r="S31" s="247"/>
      <c r="T31" s="203"/>
      <c r="U31" s="203"/>
    </row>
    <row r="32">
      <c r="A32" s="172"/>
      <c r="B32" s="348" t="s">
        <v>416</v>
      </c>
      <c r="C32" s="173" t="s">
        <v>304</v>
      </c>
      <c r="D32" s="172" t="s">
        <v>305</v>
      </c>
      <c r="E32" s="172" t="s">
        <v>311</v>
      </c>
      <c r="F32" s="178">
        <v>46235.0</v>
      </c>
      <c r="G32" s="271">
        <v>1.0056338E7</v>
      </c>
      <c r="H32" s="245">
        <v>1000000.0</v>
      </c>
      <c r="I32" s="272">
        <v>3000000.0</v>
      </c>
      <c r="J32" s="247"/>
      <c r="K32" s="245">
        <f t="shared" si="1"/>
        <v>14056338</v>
      </c>
      <c r="L32" s="253">
        <v>1.4</v>
      </c>
      <c r="M32" s="245">
        <f t="shared" si="2"/>
        <v>19678873.2</v>
      </c>
      <c r="N32" s="272">
        <v>2.38E7</v>
      </c>
      <c r="O32" s="272">
        <f t="shared" si="7"/>
        <v>21012612.61</v>
      </c>
      <c r="P32" s="245">
        <f t="shared" si="4"/>
        <v>1333739.413</v>
      </c>
      <c r="Q32" s="259">
        <f t="shared" si="5"/>
        <v>0.06777519216</v>
      </c>
      <c r="R32" s="342" t="str">
        <f t="shared" si="6"/>
        <v>Low</v>
      </c>
      <c r="S32" s="247"/>
      <c r="T32" s="203"/>
      <c r="U32" s="203"/>
    </row>
    <row r="33">
      <c r="A33" s="172" t="s">
        <v>15</v>
      </c>
      <c r="B33" s="173" t="s">
        <v>434</v>
      </c>
      <c r="C33" s="173" t="s">
        <v>304</v>
      </c>
      <c r="D33" s="172" t="s">
        <v>305</v>
      </c>
      <c r="E33" s="172" t="s">
        <v>90</v>
      </c>
      <c r="F33" s="175">
        <v>46268.0</v>
      </c>
      <c r="G33" s="265">
        <v>7106040.0</v>
      </c>
      <c r="H33" s="245">
        <v>1000000.0</v>
      </c>
      <c r="I33" s="352">
        <v>1000000.0</v>
      </c>
      <c r="J33" s="247"/>
      <c r="K33" s="245">
        <f t="shared" si="1"/>
        <v>9106040</v>
      </c>
      <c r="L33" s="253">
        <v>1.4</v>
      </c>
      <c r="M33" s="245">
        <f t="shared" si="2"/>
        <v>12748456</v>
      </c>
      <c r="N33" s="245">
        <v>2.26E7</v>
      </c>
      <c r="O33" s="245">
        <v>1.77478E7</v>
      </c>
      <c r="P33" s="245">
        <f t="shared" si="4"/>
        <v>4999344</v>
      </c>
      <c r="Q33" s="259">
        <f t="shared" si="5"/>
        <v>0.3921529007</v>
      </c>
      <c r="R33" s="332" t="str">
        <f t="shared" si="6"/>
        <v>High</v>
      </c>
      <c r="S33" s="203"/>
      <c r="T33" s="203"/>
      <c r="U33" s="203"/>
    </row>
    <row r="34">
      <c r="A34" s="172" t="s">
        <v>10</v>
      </c>
      <c r="B34" s="173" t="s">
        <v>87</v>
      </c>
      <c r="C34" s="173" t="s">
        <v>304</v>
      </c>
      <c r="D34" s="172" t="s">
        <v>305</v>
      </c>
      <c r="E34" s="172" t="s">
        <v>312</v>
      </c>
      <c r="F34" s="178" t="s">
        <v>292</v>
      </c>
      <c r="G34" s="265">
        <v>1.429721E7</v>
      </c>
      <c r="H34" s="245">
        <v>1000000.0</v>
      </c>
      <c r="I34" s="245">
        <v>1000000.0</v>
      </c>
      <c r="J34" s="302"/>
      <c r="K34" s="245">
        <f t="shared" si="1"/>
        <v>16297210</v>
      </c>
      <c r="L34" s="253">
        <v>1.3</v>
      </c>
      <c r="M34" s="245">
        <f t="shared" si="2"/>
        <v>21186373</v>
      </c>
      <c r="N34" s="245">
        <v>4.0E7</v>
      </c>
      <c r="O34" s="245">
        <v>3.5315316E7</v>
      </c>
      <c r="P34" s="245">
        <f t="shared" si="4"/>
        <v>14128943</v>
      </c>
      <c r="Q34" s="259">
        <f t="shared" si="5"/>
        <v>0.6668882399</v>
      </c>
      <c r="R34" s="263" t="str">
        <f t="shared" si="6"/>
        <v>Very High</v>
      </c>
      <c r="S34" s="203"/>
      <c r="T34" s="203"/>
      <c r="U34" s="203"/>
    </row>
    <row r="35">
      <c r="A35" s="203" t="s">
        <v>10</v>
      </c>
      <c r="B35" s="173" t="s">
        <v>363</v>
      </c>
      <c r="C35" s="173" t="s">
        <v>304</v>
      </c>
      <c r="D35" s="172" t="s">
        <v>305</v>
      </c>
      <c r="E35" s="172" t="s">
        <v>104</v>
      </c>
      <c r="F35" s="206"/>
      <c r="G35" s="203"/>
      <c r="H35" s="203"/>
      <c r="I35" s="203"/>
      <c r="J35" s="203"/>
      <c r="K35" s="253">
        <f t="shared" si="1"/>
        <v>0</v>
      </c>
      <c r="L35" s="203"/>
      <c r="M35" s="203"/>
      <c r="N35" s="203"/>
      <c r="O35" s="203"/>
      <c r="P35" s="203"/>
      <c r="Q35" s="203"/>
      <c r="R35" s="203"/>
      <c r="S35" s="203"/>
      <c r="T35" s="203"/>
      <c r="U35" s="203"/>
    </row>
    <row r="36">
      <c r="A36" s="172" t="s">
        <v>10</v>
      </c>
      <c r="B36" s="243" t="s">
        <v>451</v>
      </c>
      <c r="C36" s="173" t="s">
        <v>452</v>
      </c>
      <c r="D36" s="172" t="s">
        <v>454</v>
      </c>
      <c r="E36" s="172" t="s">
        <v>19</v>
      </c>
      <c r="F36" s="175">
        <v>46112.0</v>
      </c>
      <c r="G36" s="265">
        <v>9194021.0</v>
      </c>
      <c r="H36" s="245">
        <v>1000000.0</v>
      </c>
      <c r="I36" s="203"/>
      <c r="J36" s="203"/>
      <c r="K36" s="245">
        <f t="shared" si="1"/>
        <v>10194021</v>
      </c>
      <c r="L36" s="253">
        <v>1.4</v>
      </c>
      <c r="M36" s="245">
        <f t="shared" ref="M36:M56" si="8">K36*L36</f>
        <v>14271629.4</v>
      </c>
      <c r="N36" s="245">
        <v>2.2E7</v>
      </c>
      <c r="O36" s="245">
        <f t="shared" ref="O36:O41" si="9">(N36/1.11)*98%</f>
        <v>19423423.42</v>
      </c>
      <c r="P36" s="245">
        <f t="shared" ref="P36:P76" si="10">O36-M36</f>
        <v>5151794.023</v>
      </c>
      <c r="Q36" s="259">
        <f t="shared" ref="Q36:Q76" si="11">P36/M36</f>
        <v>0.3609814885</v>
      </c>
      <c r="R36" s="332" t="str">
        <f t="shared" ref="R36:R76" si="12">IFS(
  Q36&lt;=-0, "Min",
  Q36&lt;=0.1, "Low",
  Q36&lt;=0.2, "Middle",
  Q36&lt;=0.4, "High",
  Q36&gt;0.4, "Very High"
)</f>
        <v>High</v>
      </c>
      <c r="S36" s="203"/>
      <c r="T36" s="203"/>
      <c r="U36" s="203"/>
    </row>
    <row r="37">
      <c r="A37" s="172" t="s">
        <v>15</v>
      </c>
      <c r="B37" s="243" t="s">
        <v>35</v>
      </c>
      <c r="C37" s="174" t="s">
        <v>452</v>
      </c>
      <c r="D37" s="172" t="s">
        <v>454</v>
      </c>
      <c r="E37" s="172" t="s">
        <v>16</v>
      </c>
      <c r="F37" s="175">
        <v>46112.0</v>
      </c>
      <c r="G37" s="265">
        <v>1.4137438E7</v>
      </c>
      <c r="H37" s="245">
        <v>1000000.0</v>
      </c>
      <c r="I37" s="245">
        <v>2000000.0</v>
      </c>
      <c r="J37" s="247"/>
      <c r="K37" s="245">
        <f t="shared" si="1"/>
        <v>17137438</v>
      </c>
      <c r="L37" s="253">
        <v>1.3</v>
      </c>
      <c r="M37" s="245">
        <f t="shared" si="8"/>
        <v>22278669.4</v>
      </c>
      <c r="N37" s="245">
        <v>2.94E7</v>
      </c>
      <c r="O37" s="245">
        <f t="shared" si="9"/>
        <v>25956756.76</v>
      </c>
      <c r="P37" s="245">
        <f t="shared" si="10"/>
        <v>3678087.357</v>
      </c>
      <c r="Q37" s="259">
        <f t="shared" si="11"/>
        <v>0.1650945705</v>
      </c>
      <c r="R37" s="323" t="str">
        <f t="shared" si="12"/>
        <v>Middle</v>
      </c>
      <c r="S37" s="203"/>
      <c r="T37" s="203"/>
      <c r="U37" s="203"/>
    </row>
    <row r="38">
      <c r="A38" s="172" t="s">
        <v>15</v>
      </c>
      <c r="B38" s="243" t="s">
        <v>18</v>
      </c>
      <c r="C38" s="174" t="s">
        <v>452</v>
      </c>
      <c r="D38" s="172" t="s">
        <v>454</v>
      </c>
      <c r="E38" s="172" t="s">
        <v>19</v>
      </c>
      <c r="F38" s="178">
        <v>46112.0</v>
      </c>
      <c r="G38" s="265">
        <v>1.0713394E7</v>
      </c>
      <c r="H38" s="245">
        <v>1000000.0</v>
      </c>
      <c r="I38" s="247"/>
      <c r="J38" s="247"/>
      <c r="K38" s="245">
        <f t="shared" si="1"/>
        <v>11713394</v>
      </c>
      <c r="L38" s="253">
        <v>1.4</v>
      </c>
      <c r="M38" s="245">
        <f t="shared" si="8"/>
        <v>16398751.6</v>
      </c>
      <c r="N38" s="245">
        <v>2.1E7</v>
      </c>
      <c r="O38" s="245">
        <f t="shared" si="9"/>
        <v>18540540.54</v>
      </c>
      <c r="P38" s="245">
        <f t="shared" si="10"/>
        <v>2141788.941</v>
      </c>
      <c r="Q38" s="259">
        <f t="shared" si="11"/>
        <v>0.1306068287</v>
      </c>
      <c r="R38" s="323" t="str">
        <f t="shared" si="12"/>
        <v>Middle</v>
      </c>
      <c r="S38" s="203"/>
      <c r="T38" s="203"/>
      <c r="U38" s="203"/>
    </row>
    <row r="39">
      <c r="A39" s="172" t="s">
        <v>10</v>
      </c>
      <c r="B39" s="243" t="s">
        <v>22</v>
      </c>
      <c r="C39" s="174" t="s">
        <v>452</v>
      </c>
      <c r="D39" s="172" t="s">
        <v>468</v>
      </c>
      <c r="E39" s="172" t="s">
        <v>19</v>
      </c>
      <c r="F39" s="178">
        <v>46112.0</v>
      </c>
      <c r="G39" s="265">
        <v>8405962.0</v>
      </c>
      <c r="H39" s="245">
        <v>1000000.0</v>
      </c>
      <c r="I39" s="247"/>
      <c r="J39" s="247"/>
      <c r="K39" s="245">
        <f t="shared" si="1"/>
        <v>9405962</v>
      </c>
      <c r="L39" s="253">
        <v>1.4</v>
      </c>
      <c r="M39" s="245">
        <f t="shared" si="8"/>
        <v>13168346.8</v>
      </c>
      <c r="N39" s="245">
        <v>2.1E7</v>
      </c>
      <c r="O39" s="245">
        <f t="shared" si="9"/>
        <v>18540540.54</v>
      </c>
      <c r="P39" s="245">
        <f t="shared" si="10"/>
        <v>5372193.741</v>
      </c>
      <c r="Q39" s="259">
        <f t="shared" si="11"/>
        <v>0.4079626564</v>
      </c>
      <c r="R39" s="263" t="str">
        <f t="shared" si="12"/>
        <v>Very High</v>
      </c>
      <c r="S39" s="203"/>
      <c r="T39" s="203"/>
      <c r="U39" s="203"/>
    </row>
    <row r="40">
      <c r="A40" s="172" t="s">
        <v>10</v>
      </c>
      <c r="B40" s="346" t="s">
        <v>8</v>
      </c>
      <c r="C40" s="174" t="s">
        <v>452</v>
      </c>
      <c r="D40" s="172" t="s">
        <v>454</v>
      </c>
      <c r="E40" s="172" t="s">
        <v>11</v>
      </c>
      <c r="F40" s="178">
        <v>46112.0</v>
      </c>
      <c r="G40" s="265">
        <v>7439861.0</v>
      </c>
      <c r="H40" s="245">
        <v>1000000.0</v>
      </c>
      <c r="I40" s="247"/>
      <c r="J40" s="247"/>
      <c r="K40" s="245">
        <f t="shared" si="1"/>
        <v>8439861</v>
      </c>
      <c r="L40" s="253">
        <v>1.5</v>
      </c>
      <c r="M40" s="245">
        <f t="shared" si="8"/>
        <v>12659791.5</v>
      </c>
      <c r="N40" s="245">
        <v>1.575E7</v>
      </c>
      <c r="O40" s="245">
        <f t="shared" si="9"/>
        <v>13905405.41</v>
      </c>
      <c r="P40" s="245">
        <f t="shared" si="10"/>
        <v>1245613.905</v>
      </c>
      <c r="Q40" s="259">
        <f t="shared" si="11"/>
        <v>0.09839134439</v>
      </c>
      <c r="R40" s="342" t="str">
        <f t="shared" si="12"/>
        <v>Low</v>
      </c>
      <c r="S40" s="245">
        <v>1.87E7</v>
      </c>
      <c r="T40" s="203"/>
      <c r="U40" s="203"/>
    </row>
    <row r="41">
      <c r="A41" s="172" t="s">
        <v>15</v>
      </c>
      <c r="B41" s="243" t="s">
        <v>14</v>
      </c>
      <c r="C41" s="174" t="s">
        <v>452</v>
      </c>
      <c r="D41" s="172" t="s">
        <v>454</v>
      </c>
      <c r="E41" s="172" t="s">
        <v>16</v>
      </c>
      <c r="F41" s="178">
        <v>46112.0</v>
      </c>
      <c r="G41" s="265">
        <v>1.1527887E7</v>
      </c>
      <c r="H41" s="245">
        <v>1000000.0</v>
      </c>
      <c r="I41" s="247"/>
      <c r="J41" s="247"/>
      <c r="K41" s="245">
        <f t="shared" si="1"/>
        <v>12527887</v>
      </c>
      <c r="L41" s="253">
        <v>1.3</v>
      </c>
      <c r="M41" s="245">
        <f t="shared" si="8"/>
        <v>16286253.1</v>
      </c>
      <c r="N41" s="245">
        <v>2.94E7</v>
      </c>
      <c r="O41" s="245">
        <f t="shared" si="9"/>
        <v>25956756.76</v>
      </c>
      <c r="P41" s="245">
        <f t="shared" si="10"/>
        <v>9670503.657</v>
      </c>
      <c r="Q41" s="259">
        <f t="shared" si="11"/>
        <v>0.5937832107</v>
      </c>
      <c r="R41" s="263" t="str">
        <f t="shared" si="12"/>
        <v>Very High</v>
      </c>
      <c r="S41" s="203"/>
      <c r="T41" s="203"/>
      <c r="U41" s="203"/>
    </row>
    <row r="42">
      <c r="A42" s="203" t="s">
        <v>15</v>
      </c>
      <c r="B42" s="374" t="s">
        <v>107</v>
      </c>
      <c r="C42" s="173" t="s">
        <v>313</v>
      </c>
      <c r="D42" s="203" t="s">
        <v>315</v>
      </c>
      <c r="E42" s="203" t="s">
        <v>315</v>
      </c>
      <c r="F42" s="206">
        <v>46413.0</v>
      </c>
      <c r="G42" s="265">
        <v>9000000.0</v>
      </c>
      <c r="H42" s="265">
        <v>1000000.0</v>
      </c>
      <c r="I42" s="296">
        <v>1000000.0</v>
      </c>
      <c r="J42" s="302"/>
      <c r="K42" s="245">
        <f t="shared" si="1"/>
        <v>11000000</v>
      </c>
      <c r="L42" s="253">
        <v>1.5</v>
      </c>
      <c r="M42" s="245">
        <f t="shared" si="8"/>
        <v>16500000</v>
      </c>
      <c r="N42" s="245" t="s">
        <v>439</v>
      </c>
      <c r="O42" s="245">
        <v>1.85E7</v>
      </c>
      <c r="P42" s="245">
        <f t="shared" si="10"/>
        <v>2000000</v>
      </c>
      <c r="Q42" s="259">
        <f t="shared" si="11"/>
        <v>0.1212121212</v>
      </c>
      <c r="R42" s="332" t="str">
        <f t="shared" si="12"/>
        <v>Middle</v>
      </c>
      <c r="S42" s="203"/>
      <c r="T42" s="203"/>
      <c r="U42" s="203"/>
    </row>
    <row r="43">
      <c r="A43" s="172" t="s">
        <v>10</v>
      </c>
      <c r="B43" s="174" t="s">
        <v>386</v>
      </c>
      <c r="C43" s="173" t="s">
        <v>319</v>
      </c>
      <c r="D43" s="207" t="s">
        <v>320</v>
      </c>
      <c r="E43" s="207" t="s">
        <v>52</v>
      </c>
      <c r="F43" s="209">
        <v>46288.0</v>
      </c>
      <c r="G43" s="265">
        <v>1.0713395E7</v>
      </c>
      <c r="H43" s="245">
        <v>1000000.0</v>
      </c>
      <c r="I43" s="272">
        <v>4000000.0</v>
      </c>
      <c r="J43" s="247"/>
      <c r="K43" s="245">
        <f t="shared" si="1"/>
        <v>15713395</v>
      </c>
      <c r="L43" s="253">
        <v>1.4</v>
      </c>
      <c r="M43" s="245">
        <f t="shared" si="8"/>
        <v>21998753</v>
      </c>
      <c r="N43" s="245">
        <v>2.5E7</v>
      </c>
      <c r="O43" s="281">
        <v>1.9291667E7</v>
      </c>
      <c r="P43" s="245">
        <f t="shared" si="10"/>
        <v>-2707086</v>
      </c>
      <c r="Q43" s="259">
        <f t="shared" si="11"/>
        <v>-0.1230563387</v>
      </c>
      <c r="R43" s="323" t="str">
        <f t="shared" si="12"/>
        <v>Min</v>
      </c>
      <c r="S43" s="203"/>
      <c r="T43" s="203"/>
      <c r="U43" s="203"/>
    </row>
    <row r="44">
      <c r="A44" s="172" t="s">
        <v>10</v>
      </c>
      <c r="B44" s="346" t="s">
        <v>58</v>
      </c>
      <c r="C44" s="181" t="s">
        <v>319</v>
      </c>
      <c r="D44" s="377" t="s">
        <v>320</v>
      </c>
      <c r="E44" s="377" t="s">
        <v>52</v>
      </c>
      <c r="F44" s="379">
        <v>46121.0</v>
      </c>
      <c r="G44" s="272">
        <v>2.26676E7</v>
      </c>
      <c r="H44" s="245">
        <v>1000000.0</v>
      </c>
      <c r="I44" s="247"/>
      <c r="J44" s="247"/>
      <c r="K44" s="245">
        <f t="shared" si="1"/>
        <v>23667600</v>
      </c>
      <c r="L44" s="253">
        <v>1.3</v>
      </c>
      <c r="M44" s="245">
        <f t="shared" si="8"/>
        <v>30767880</v>
      </c>
      <c r="N44" s="245">
        <v>2.5E7</v>
      </c>
      <c r="O44" s="281">
        <v>1.9291667E7</v>
      </c>
      <c r="P44" s="245">
        <f t="shared" si="10"/>
        <v>-11476213</v>
      </c>
      <c r="Q44" s="259">
        <f t="shared" si="11"/>
        <v>-0.3729932969</v>
      </c>
      <c r="R44" s="259" t="str">
        <f t="shared" si="12"/>
        <v>Min</v>
      </c>
      <c r="S44" s="203"/>
      <c r="T44" s="203"/>
      <c r="U44" s="203"/>
    </row>
    <row r="45">
      <c r="A45" s="172" t="s">
        <v>10</v>
      </c>
      <c r="B45" s="173" t="s">
        <v>67</v>
      </c>
      <c r="C45" s="173" t="s">
        <v>319</v>
      </c>
      <c r="D45" s="207" t="s">
        <v>320</v>
      </c>
      <c r="E45" s="207" t="s">
        <v>52</v>
      </c>
      <c r="F45" s="178">
        <v>46121.0</v>
      </c>
      <c r="G45" s="281">
        <v>1.0056338E7</v>
      </c>
      <c r="H45" s="245">
        <v>1000000.0</v>
      </c>
      <c r="I45" s="272"/>
      <c r="J45" s="247"/>
      <c r="K45" s="245">
        <f t="shared" si="1"/>
        <v>11056338</v>
      </c>
      <c r="L45" s="253">
        <v>1.4</v>
      </c>
      <c r="M45" s="245">
        <f t="shared" si="8"/>
        <v>15478873.2</v>
      </c>
      <c r="N45" s="245">
        <v>2.5E7</v>
      </c>
      <c r="O45" s="281">
        <v>1.9291667E7</v>
      </c>
      <c r="P45" s="245">
        <f t="shared" si="10"/>
        <v>3812793.8</v>
      </c>
      <c r="Q45" s="259">
        <f t="shared" si="11"/>
        <v>0.246322439</v>
      </c>
      <c r="R45" s="332" t="str">
        <f t="shared" si="12"/>
        <v>High</v>
      </c>
      <c r="S45" s="203"/>
      <c r="T45" s="203"/>
      <c r="U45" s="203"/>
    </row>
    <row r="46">
      <c r="A46" s="172" t="s">
        <v>10</v>
      </c>
      <c r="B46" s="278" t="s">
        <v>64</v>
      </c>
      <c r="C46" s="173" t="s">
        <v>319</v>
      </c>
      <c r="D46" s="207" t="s">
        <v>320</v>
      </c>
      <c r="E46" s="207" t="s">
        <v>52</v>
      </c>
      <c r="F46" s="178">
        <v>46211.0</v>
      </c>
      <c r="G46" s="265">
        <v>1.0713395E7</v>
      </c>
      <c r="H46" s="245">
        <v>1000000.0</v>
      </c>
      <c r="I46" s="247"/>
      <c r="J46" s="247"/>
      <c r="K46" s="245">
        <f t="shared" si="1"/>
        <v>11713395</v>
      </c>
      <c r="L46" s="253">
        <v>1.4</v>
      </c>
      <c r="M46" s="245">
        <f t="shared" si="8"/>
        <v>16398753</v>
      </c>
      <c r="N46" s="245">
        <v>2.5E7</v>
      </c>
      <c r="O46" s="281">
        <v>1.9291667E7</v>
      </c>
      <c r="P46" s="245">
        <f t="shared" si="10"/>
        <v>2892914</v>
      </c>
      <c r="Q46" s="259">
        <f t="shared" si="11"/>
        <v>0.1764106088</v>
      </c>
      <c r="R46" s="323" t="str">
        <f t="shared" si="12"/>
        <v>Middle</v>
      </c>
      <c r="S46" s="203"/>
      <c r="T46" s="203"/>
      <c r="U46" s="203"/>
    </row>
    <row r="47">
      <c r="A47" s="172" t="s">
        <v>10</v>
      </c>
      <c r="B47" s="278" t="s">
        <v>65</v>
      </c>
      <c r="C47" s="173" t="s">
        <v>319</v>
      </c>
      <c r="D47" s="207" t="s">
        <v>320</v>
      </c>
      <c r="E47" s="207" t="s">
        <v>52</v>
      </c>
      <c r="F47" s="178">
        <v>46216.0</v>
      </c>
      <c r="G47" s="265">
        <v>9482748.0</v>
      </c>
      <c r="H47" s="245">
        <v>1000000.0</v>
      </c>
      <c r="I47" s="272">
        <v>500000.0</v>
      </c>
      <c r="J47" s="247"/>
      <c r="K47" s="245">
        <f t="shared" si="1"/>
        <v>10982748</v>
      </c>
      <c r="L47" s="253">
        <v>1.4</v>
      </c>
      <c r="M47" s="245">
        <f t="shared" si="8"/>
        <v>15375847.2</v>
      </c>
      <c r="N47" s="245">
        <v>2.5E7</v>
      </c>
      <c r="O47" s="281">
        <v>1.9291667E7</v>
      </c>
      <c r="P47" s="245">
        <f t="shared" si="10"/>
        <v>3915819.8</v>
      </c>
      <c r="Q47" s="259">
        <f t="shared" si="11"/>
        <v>0.2546734335</v>
      </c>
      <c r="R47" s="332" t="str">
        <f t="shared" si="12"/>
        <v>High</v>
      </c>
      <c r="S47" s="203"/>
      <c r="T47" s="203"/>
      <c r="U47" s="203"/>
    </row>
    <row r="48">
      <c r="A48" s="172" t="s">
        <v>10</v>
      </c>
      <c r="B48" s="278" t="s">
        <v>325</v>
      </c>
      <c r="C48" s="173" t="s">
        <v>319</v>
      </c>
      <c r="D48" s="207" t="s">
        <v>320</v>
      </c>
      <c r="E48" s="207" t="s">
        <v>52</v>
      </c>
      <c r="F48" s="178">
        <v>46223.0</v>
      </c>
      <c r="G48" s="271">
        <v>8926054.0</v>
      </c>
      <c r="H48" s="245">
        <v>1000000.0</v>
      </c>
      <c r="I48" s="271">
        <v>300000.0</v>
      </c>
      <c r="J48" s="247"/>
      <c r="K48" s="245">
        <f t="shared" si="1"/>
        <v>10226054</v>
      </c>
      <c r="L48" s="253">
        <v>1.4</v>
      </c>
      <c r="M48" s="245">
        <f t="shared" si="8"/>
        <v>14316475.6</v>
      </c>
      <c r="N48" s="245">
        <v>2.5E7</v>
      </c>
      <c r="O48" s="281">
        <v>1.9291667E7</v>
      </c>
      <c r="P48" s="245">
        <f t="shared" si="10"/>
        <v>4975191.4</v>
      </c>
      <c r="Q48" s="259">
        <f t="shared" si="11"/>
        <v>0.3475150965</v>
      </c>
      <c r="R48" s="332" t="str">
        <f t="shared" si="12"/>
        <v>High</v>
      </c>
      <c r="S48" s="203"/>
      <c r="T48" s="203"/>
      <c r="U48" s="203"/>
    </row>
    <row r="49">
      <c r="A49" s="172" t="s">
        <v>10</v>
      </c>
      <c r="B49" s="173" t="s">
        <v>66</v>
      </c>
      <c r="C49" s="173" t="s">
        <v>319</v>
      </c>
      <c r="D49" s="207" t="s">
        <v>320</v>
      </c>
      <c r="E49" s="207" t="s">
        <v>52</v>
      </c>
      <c r="F49" s="175">
        <v>46237.0</v>
      </c>
      <c r="G49" s="265">
        <v>1.0056338E7</v>
      </c>
      <c r="H49" s="245">
        <v>1000000.0</v>
      </c>
      <c r="I49" s="245">
        <v>300000.0</v>
      </c>
      <c r="J49" s="247"/>
      <c r="K49" s="245">
        <f t="shared" si="1"/>
        <v>11356338</v>
      </c>
      <c r="L49" s="253">
        <v>1.4</v>
      </c>
      <c r="M49" s="245">
        <f t="shared" si="8"/>
        <v>15898873.2</v>
      </c>
      <c r="N49" s="245">
        <v>2.5E7</v>
      </c>
      <c r="O49" s="281">
        <v>1.9291667E7</v>
      </c>
      <c r="P49" s="245">
        <f t="shared" si="10"/>
        <v>3392793.8</v>
      </c>
      <c r="Q49" s="259">
        <f t="shared" si="11"/>
        <v>0.213398381</v>
      </c>
      <c r="R49" s="323" t="str">
        <f t="shared" si="12"/>
        <v>High</v>
      </c>
      <c r="S49" s="203"/>
      <c r="T49" s="203"/>
      <c r="U49" s="203"/>
    </row>
    <row r="50">
      <c r="A50" s="172" t="s">
        <v>10</v>
      </c>
      <c r="B50" s="173" t="s">
        <v>326</v>
      </c>
      <c r="C50" s="173" t="s">
        <v>319</v>
      </c>
      <c r="D50" s="207" t="s">
        <v>320</v>
      </c>
      <c r="E50" s="207" t="s">
        <v>52</v>
      </c>
      <c r="F50" s="178">
        <v>46246.0</v>
      </c>
      <c r="G50" s="265">
        <v>1.1E7</v>
      </c>
      <c r="H50" s="245">
        <v>1000000.0</v>
      </c>
      <c r="I50" s="272">
        <v>700000.0</v>
      </c>
      <c r="J50" s="273" t="s">
        <v>485</v>
      </c>
      <c r="K50" s="245">
        <f t="shared" si="1"/>
        <v>12700000</v>
      </c>
      <c r="L50" s="253">
        <v>1.4</v>
      </c>
      <c r="M50" s="245">
        <f t="shared" si="8"/>
        <v>17780000</v>
      </c>
      <c r="N50" s="245">
        <v>2.5E7</v>
      </c>
      <c r="O50" s="281">
        <v>1.9291667E7</v>
      </c>
      <c r="P50" s="245">
        <f t="shared" si="10"/>
        <v>1511667</v>
      </c>
      <c r="Q50" s="259">
        <f t="shared" si="11"/>
        <v>0.08502064117</v>
      </c>
      <c r="R50" s="342" t="str">
        <f t="shared" si="12"/>
        <v>Low</v>
      </c>
      <c r="S50" s="203"/>
      <c r="T50" s="203"/>
      <c r="U50" s="203"/>
    </row>
    <row r="51">
      <c r="A51" s="172" t="s">
        <v>10</v>
      </c>
      <c r="B51" s="173" t="s">
        <v>56</v>
      </c>
      <c r="C51" s="173" t="s">
        <v>319</v>
      </c>
      <c r="D51" s="207" t="s">
        <v>320</v>
      </c>
      <c r="E51" s="207" t="s">
        <v>52</v>
      </c>
      <c r="F51" s="209">
        <v>46278.0</v>
      </c>
      <c r="G51" s="300">
        <v>1.0056338E7</v>
      </c>
      <c r="H51" s="245">
        <v>1000000.0</v>
      </c>
      <c r="I51" s="245">
        <v>300000.0</v>
      </c>
      <c r="J51" s="247"/>
      <c r="K51" s="245">
        <f t="shared" si="1"/>
        <v>11356338</v>
      </c>
      <c r="L51" s="253">
        <v>1.4</v>
      </c>
      <c r="M51" s="245">
        <f t="shared" si="8"/>
        <v>15898873.2</v>
      </c>
      <c r="N51" s="245">
        <v>2.5E7</v>
      </c>
      <c r="O51" s="281">
        <v>1.9291667E7</v>
      </c>
      <c r="P51" s="245">
        <f t="shared" si="10"/>
        <v>3392793.8</v>
      </c>
      <c r="Q51" s="259">
        <f t="shared" si="11"/>
        <v>0.213398381</v>
      </c>
      <c r="R51" s="323" t="str">
        <f t="shared" si="12"/>
        <v>High</v>
      </c>
      <c r="S51" s="203"/>
      <c r="T51" s="203"/>
      <c r="U51" s="203"/>
    </row>
    <row r="52">
      <c r="A52" s="172" t="s">
        <v>10</v>
      </c>
      <c r="B52" s="181" t="s">
        <v>62</v>
      </c>
      <c r="C52" s="173" t="s">
        <v>319</v>
      </c>
      <c r="D52" s="207" t="s">
        <v>320</v>
      </c>
      <c r="E52" s="207" t="s">
        <v>52</v>
      </c>
      <c r="F52" s="178">
        <v>46382.0</v>
      </c>
      <c r="G52" s="265">
        <v>8405962.0</v>
      </c>
      <c r="H52" s="245">
        <v>1000000.0</v>
      </c>
      <c r="I52" s="245">
        <v>800000.0</v>
      </c>
      <c r="J52" s="245" t="s">
        <v>438</v>
      </c>
      <c r="K52" s="245">
        <f t="shared" si="1"/>
        <v>10205962</v>
      </c>
      <c r="L52" s="253">
        <v>1.4</v>
      </c>
      <c r="M52" s="245">
        <f t="shared" si="8"/>
        <v>14288346.8</v>
      </c>
      <c r="N52" s="245">
        <v>2.5E7</v>
      </c>
      <c r="O52" s="281">
        <v>1.9291667E7</v>
      </c>
      <c r="P52" s="245">
        <f t="shared" si="10"/>
        <v>5003320.2</v>
      </c>
      <c r="Q52" s="259">
        <f t="shared" si="11"/>
        <v>0.3501678865</v>
      </c>
      <c r="R52" s="332" t="str">
        <f t="shared" si="12"/>
        <v>High</v>
      </c>
      <c r="S52" s="203"/>
      <c r="T52" s="203"/>
      <c r="U52" s="203"/>
    </row>
    <row r="53">
      <c r="A53" s="172" t="s">
        <v>10</v>
      </c>
      <c r="B53" s="173" t="s">
        <v>60</v>
      </c>
      <c r="C53" s="173" t="s">
        <v>319</v>
      </c>
      <c r="D53" s="207" t="s">
        <v>320</v>
      </c>
      <c r="E53" s="207" t="s">
        <v>52</v>
      </c>
      <c r="F53" s="209">
        <v>46548.0</v>
      </c>
      <c r="G53" s="300">
        <v>1.0700165E7</v>
      </c>
      <c r="H53" s="296">
        <v>1000000.0</v>
      </c>
      <c r="I53" s="296"/>
      <c r="J53" s="302"/>
      <c r="K53" s="245">
        <f t="shared" si="1"/>
        <v>11700165</v>
      </c>
      <c r="L53" s="274">
        <v>1.3</v>
      </c>
      <c r="M53" s="245">
        <f t="shared" si="8"/>
        <v>15210214.5</v>
      </c>
      <c r="N53" s="245">
        <v>2.5E7</v>
      </c>
      <c r="O53" s="281">
        <v>1.9291667E7</v>
      </c>
      <c r="P53" s="245">
        <f t="shared" si="10"/>
        <v>4081452.5</v>
      </c>
      <c r="Q53" s="259">
        <f t="shared" si="11"/>
        <v>0.2683362881</v>
      </c>
      <c r="R53" s="323" t="str">
        <f t="shared" si="12"/>
        <v>High</v>
      </c>
      <c r="S53" s="203"/>
      <c r="T53" s="203"/>
      <c r="U53" s="203"/>
    </row>
    <row r="54">
      <c r="A54" s="172" t="s">
        <v>10</v>
      </c>
      <c r="B54" s="173" t="s">
        <v>61</v>
      </c>
      <c r="C54" s="173" t="s">
        <v>319</v>
      </c>
      <c r="D54" s="207" t="s">
        <v>320</v>
      </c>
      <c r="E54" s="207" t="s">
        <v>52</v>
      </c>
      <c r="F54" s="387" t="s">
        <v>442</v>
      </c>
      <c r="G54" s="265">
        <v>1.0713395E7</v>
      </c>
      <c r="H54" s="245">
        <v>1000000.0</v>
      </c>
      <c r="I54" s="265">
        <v>500000.0</v>
      </c>
      <c r="J54" s="302"/>
      <c r="K54" s="245">
        <f t="shared" si="1"/>
        <v>12213395</v>
      </c>
      <c r="L54" s="253">
        <v>1.4</v>
      </c>
      <c r="M54" s="245">
        <f t="shared" si="8"/>
        <v>17098753</v>
      </c>
      <c r="N54" s="245">
        <v>2.5E7</v>
      </c>
      <c r="O54" s="281">
        <v>1.9291667E7</v>
      </c>
      <c r="P54" s="245">
        <f t="shared" si="10"/>
        <v>2192914</v>
      </c>
      <c r="Q54" s="259">
        <f t="shared" si="11"/>
        <v>0.1282499373</v>
      </c>
      <c r="R54" s="342" t="str">
        <f t="shared" si="12"/>
        <v>Middle</v>
      </c>
      <c r="S54" s="203"/>
      <c r="T54" s="203"/>
      <c r="U54" s="203"/>
    </row>
    <row r="55">
      <c r="A55" s="172" t="s">
        <v>10</v>
      </c>
      <c r="B55" s="174" t="s">
        <v>388</v>
      </c>
      <c r="C55" s="173" t="s">
        <v>319</v>
      </c>
      <c r="D55" s="207" t="s">
        <v>320</v>
      </c>
      <c r="E55" s="207" t="s">
        <v>52</v>
      </c>
      <c r="F55" s="387" t="s">
        <v>442</v>
      </c>
      <c r="G55" s="296">
        <v>5442000.0</v>
      </c>
      <c r="H55" s="245">
        <v>1000000.0</v>
      </c>
      <c r="I55" s="296">
        <v>1500000.0</v>
      </c>
      <c r="J55" s="302"/>
      <c r="K55" s="245">
        <f t="shared" si="1"/>
        <v>7942000</v>
      </c>
      <c r="L55" s="253">
        <v>1.4</v>
      </c>
      <c r="M55" s="245">
        <f t="shared" si="8"/>
        <v>11118800</v>
      </c>
      <c r="N55" s="245">
        <v>2.5E7</v>
      </c>
      <c r="O55" s="281">
        <v>1.9291667E7</v>
      </c>
      <c r="P55" s="245">
        <f t="shared" si="10"/>
        <v>8172867</v>
      </c>
      <c r="Q55" s="259">
        <f t="shared" si="11"/>
        <v>0.7350493758</v>
      </c>
      <c r="R55" s="391" t="str">
        <f t="shared" si="12"/>
        <v>Very High</v>
      </c>
      <c r="S55" s="203"/>
      <c r="T55" s="203"/>
      <c r="U55" s="203"/>
    </row>
    <row r="56">
      <c r="A56" s="172" t="s">
        <v>10</v>
      </c>
      <c r="B56" s="174" t="s">
        <v>174</v>
      </c>
      <c r="C56" s="173" t="s">
        <v>319</v>
      </c>
      <c r="D56" s="207" t="s">
        <v>320</v>
      </c>
      <c r="E56" s="207" t="s">
        <v>52</v>
      </c>
      <c r="F56" s="387" t="s">
        <v>442</v>
      </c>
      <c r="G56" s="296">
        <v>5442000.0</v>
      </c>
      <c r="H56" s="245">
        <v>1000000.0</v>
      </c>
      <c r="I56" s="265">
        <v>500000.0</v>
      </c>
      <c r="J56" s="302"/>
      <c r="K56" s="245">
        <f t="shared" si="1"/>
        <v>6942000</v>
      </c>
      <c r="L56" s="253">
        <v>1.4</v>
      </c>
      <c r="M56" s="245">
        <f t="shared" si="8"/>
        <v>9718800</v>
      </c>
      <c r="N56" s="245">
        <v>2.5E7</v>
      </c>
      <c r="O56" s="281">
        <v>1.9291667E7</v>
      </c>
      <c r="P56" s="245">
        <f t="shared" si="10"/>
        <v>9572867</v>
      </c>
      <c r="Q56" s="259">
        <f t="shared" si="11"/>
        <v>0.9849844631</v>
      </c>
      <c r="R56" s="342" t="str">
        <f t="shared" si="12"/>
        <v>Very High</v>
      </c>
      <c r="S56" s="203"/>
      <c r="T56" s="203"/>
      <c r="U56" s="203"/>
    </row>
    <row r="57">
      <c r="A57" s="172" t="s">
        <v>10</v>
      </c>
      <c r="B57" s="189" t="s">
        <v>465</v>
      </c>
      <c r="C57" s="394" t="s">
        <v>466</v>
      </c>
      <c r="D57" s="2" t="s">
        <v>153</v>
      </c>
      <c r="E57" s="395">
        <v>46125.0</v>
      </c>
      <c r="F57" s="396">
        <v>46278.0</v>
      </c>
      <c r="G57" s="271">
        <v>9500000.0</v>
      </c>
      <c r="H57" s="271">
        <v>1000000.0</v>
      </c>
      <c r="I57" s="271">
        <v>1000000.0</v>
      </c>
      <c r="J57" s="271">
        <f t="shared" ref="J57:J66" si="13">G57+H57+I57</f>
        <v>11500000</v>
      </c>
      <c r="K57" s="245">
        <f t="shared" si="1"/>
        <v>11500000</v>
      </c>
      <c r="L57" s="397">
        <v>1.4</v>
      </c>
      <c r="M57" s="271">
        <f t="shared" ref="M57:M69" si="14">J57*L57</f>
        <v>16100000</v>
      </c>
      <c r="N57" s="245" t="s">
        <v>362</v>
      </c>
      <c r="O57" s="271">
        <v>3.05E7</v>
      </c>
      <c r="P57" s="271">
        <f t="shared" si="10"/>
        <v>14400000</v>
      </c>
      <c r="Q57" s="398">
        <f t="shared" si="11"/>
        <v>0.8944099379</v>
      </c>
      <c r="R57" s="399" t="str">
        <f t="shared" si="12"/>
        <v>Very High</v>
      </c>
    </row>
    <row r="58">
      <c r="A58" s="172" t="s">
        <v>10</v>
      </c>
      <c r="B58" s="189" t="s">
        <v>469</v>
      </c>
      <c r="C58" s="394" t="s">
        <v>466</v>
      </c>
      <c r="D58" s="2" t="s">
        <v>157</v>
      </c>
      <c r="E58" s="395">
        <v>46118.0</v>
      </c>
      <c r="F58" s="396">
        <v>46266.0</v>
      </c>
      <c r="G58" s="271">
        <v>1.075E7</v>
      </c>
      <c r="H58" s="271">
        <v>1000000.0</v>
      </c>
      <c r="I58" s="271">
        <v>500000.0</v>
      </c>
      <c r="J58" s="271">
        <f t="shared" si="13"/>
        <v>12250000</v>
      </c>
      <c r="K58" s="245">
        <f t="shared" si="1"/>
        <v>12250000</v>
      </c>
      <c r="L58" s="397">
        <v>1.4</v>
      </c>
      <c r="M58" s="271">
        <f t="shared" si="14"/>
        <v>17150000</v>
      </c>
      <c r="N58" s="245" t="s">
        <v>362</v>
      </c>
      <c r="O58" s="271">
        <v>3.05E7</v>
      </c>
      <c r="P58" s="271">
        <f t="shared" si="10"/>
        <v>13350000</v>
      </c>
      <c r="Q58" s="398">
        <f t="shared" si="11"/>
        <v>0.778425656</v>
      </c>
      <c r="R58" s="399" t="str">
        <f t="shared" si="12"/>
        <v>Very High</v>
      </c>
    </row>
    <row r="59">
      <c r="A59" s="172" t="s">
        <v>10</v>
      </c>
      <c r="B59" s="189" t="s">
        <v>471</v>
      </c>
      <c r="C59" s="394" t="s">
        <v>466</v>
      </c>
      <c r="D59" s="2" t="s">
        <v>160</v>
      </c>
      <c r="E59" s="395">
        <v>46118.0</v>
      </c>
      <c r="F59" s="396">
        <v>46266.0</v>
      </c>
      <c r="G59" s="271">
        <v>1.075E7</v>
      </c>
      <c r="H59" s="271">
        <v>1000000.0</v>
      </c>
      <c r="I59" s="271">
        <v>1000000.0</v>
      </c>
      <c r="J59" s="271">
        <f t="shared" si="13"/>
        <v>12750000</v>
      </c>
      <c r="K59" s="245">
        <f t="shared" si="1"/>
        <v>12750000</v>
      </c>
      <c r="L59" s="397">
        <v>1.4</v>
      </c>
      <c r="M59" s="271">
        <f t="shared" si="14"/>
        <v>17850000</v>
      </c>
      <c r="N59" s="245" t="s">
        <v>362</v>
      </c>
      <c r="O59" s="271">
        <v>3.05E7</v>
      </c>
      <c r="P59" s="271">
        <f t="shared" si="10"/>
        <v>12650000</v>
      </c>
      <c r="Q59" s="398">
        <f t="shared" si="11"/>
        <v>0.7086834734</v>
      </c>
      <c r="R59" s="399" t="str">
        <f t="shared" si="12"/>
        <v>Very High</v>
      </c>
    </row>
    <row r="60">
      <c r="A60" s="172" t="s">
        <v>10</v>
      </c>
      <c r="B60" s="400" t="s">
        <v>493</v>
      </c>
      <c r="C60" s="394" t="s">
        <v>466</v>
      </c>
      <c r="D60" s="2" t="s">
        <v>162</v>
      </c>
      <c r="E60" s="395">
        <v>46118.0</v>
      </c>
      <c r="F60" s="396">
        <v>46266.0</v>
      </c>
      <c r="G60" s="271">
        <v>9500000.0</v>
      </c>
      <c r="H60" s="271">
        <v>1000000.0</v>
      </c>
      <c r="I60" s="271">
        <v>0.0</v>
      </c>
      <c r="J60" s="271">
        <f t="shared" si="13"/>
        <v>10500000</v>
      </c>
      <c r="K60" s="245">
        <f t="shared" si="1"/>
        <v>10500000</v>
      </c>
      <c r="L60" s="397">
        <v>1.4</v>
      </c>
      <c r="M60" s="271">
        <f t="shared" si="14"/>
        <v>14700000</v>
      </c>
      <c r="N60" s="245" t="s">
        <v>362</v>
      </c>
      <c r="O60" s="271">
        <v>2.95E7</v>
      </c>
      <c r="P60" s="271">
        <f t="shared" si="10"/>
        <v>14800000</v>
      </c>
      <c r="Q60" s="398">
        <f t="shared" si="11"/>
        <v>1.006802721</v>
      </c>
      <c r="R60" s="399" t="str">
        <f t="shared" si="12"/>
        <v>Very High</v>
      </c>
    </row>
    <row r="61">
      <c r="A61" s="172" t="s">
        <v>10</v>
      </c>
      <c r="B61" s="189" t="s">
        <v>475</v>
      </c>
      <c r="C61" s="394" t="s">
        <v>466</v>
      </c>
      <c r="D61" s="2" t="s">
        <v>162</v>
      </c>
      <c r="E61" s="395">
        <v>46118.0</v>
      </c>
      <c r="F61" s="396">
        <v>46266.0</v>
      </c>
      <c r="G61" s="271">
        <v>1.075E7</v>
      </c>
      <c r="H61" s="271">
        <v>1000000.0</v>
      </c>
      <c r="I61" s="271">
        <v>1000000.0</v>
      </c>
      <c r="J61" s="271">
        <f t="shared" si="13"/>
        <v>12750000</v>
      </c>
      <c r="K61" s="245">
        <f t="shared" si="1"/>
        <v>12750000</v>
      </c>
      <c r="L61" s="397">
        <v>1.4</v>
      </c>
      <c r="M61" s="271">
        <f t="shared" si="14"/>
        <v>17850000</v>
      </c>
      <c r="N61" s="245" t="s">
        <v>362</v>
      </c>
      <c r="O61" s="271">
        <v>2.95E7</v>
      </c>
      <c r="P61" s="271">
        <f t="shared" si="10"/>
        <v>11650000</v>
      </c>
      <c r="Q61" s="398">
        <f t="shared" si="11"/>
        <v>0.6526610644</v>
      </c>
      <c r="R61" s="399" t="str">
        <f t="shared" si="12"/>
        <v>Very High</v>
      </c>
    </row>
    <row r="62">
      <c r="A62" s="172" t="s">
        <v>10</v>
      </c>
      <c r="B62" s="189" t="s">
        <v>480</v>
      </c>
      <c r="C62" s="394" t="s">
        <v>466</v>
      </c>
      <c r="D62" s="2" t="s">
        <v>165</v>
      </c>
      <c r="E62" s="395">
        <v>46118.0</v>
      </c>
      <c r="F62" s="396">
        <v>46266.0</v>
      </c>
      <c r="G62" s="271">
        <v>1.075E7</v>
      </c>
      <c r="H62" s="271">
        <v>1000000.0</v>
      </c>
      <c r="I62" s="271">
        <v>2000000.0</v>
      </c>
      <c r="J62" s="271">
        <f t="shared" si="13"/>
        <v>13750000</v>
      </c>
      <c r="K62" s="245">
        <f t="shared" si="1"/>
        <v>13750000</v>
      </c>
      <c r="L62" s="397">
        <v>1.4</v>
      </c>
      <c r="M62" s="271">
        <f t="shared" si="14"/>
        <v>19250000</v>
      </c>
      <c r="N62" s="245" t="s">
        <v>362</v>
      </c>
      <c r="O62" s="271">
        <v>3.6E7</v>
      </c>
      <c r="P62" s="271">
        <f t="shared" si="10"/>
        <v>16750000</v>
      </c>
      <c r="Q62" s="398">
        <f t="shared" si="11"/>
        <v>0.8701298701</v>
      </c>
      <c r="R62" s="399" t="str">
        <f t="shared" si="12"/>
        <v>Very High</v>
      </c>
    </row>
    <row r="63">
      <c r="A63" s="172" t="s">
        <v>10</v>
      </c>
      <c r="B63" s="189" t="s">
        <v>379</v>
      </c>
      <c r="C63" s="394" t="s">
        <v>466</v>
      </c>
      <c r="D63" s="2" t="s">
        <v>165</v>
      </c>
      <c r="E63" s="395">
        <v>46118.0</v>
      </c>
      <c r="F63" s="396">
        <v>46273.0</v>
      </c>
      <c r="G63" s="271">
        <v>1.6659228E7</v>
      </c>
      <c r="H63" s="271">
        <v>1000000.0</v>
      </c>
      <c r="I63" s="271">
        <v>3000000.0</v>
      </c>
      <c r="J63" s="271">
        <f t="shared" si="13"/>
        <v>20659228</v>
      </c>
      <c r="K63" s="245">
        <f t="shared" si="1"/>
        <v>20659228</v>
      </c>
      <c r="L63" s="397">
        <v>1.4</v>
      </c>
      <c r="M63" s="271">
        <f t="shared" si="14"/>
        <v>28922919.2</v>
      </c>
      <c r="N63" s="245" t="s">
        <v>362</v>
      </c>
      <c r="O63" s="271">
        <v>3.6E7</v>
      </c>
      <c r="P63" s="271">
        <f t="shared" si="10"/>
        <v>7077080.8</v>
      </c>
      <c r="Q63" s="398">
        <f t="shared" si="11"/>
        <v>0.2446876386</v>
      </c>
      <c r="R63" s="401" t="str">
        <f t="shared" si="12"/>
        <v>High</v>
      </c>
    </row>
    <row r="64">
      <c r="A64" s="172" t="s">
        <v>10</v>
      </c>
      <c r="B64" s="189" t="s">
        <v>481</v>
      </c>
      <c r="C64" s="394" t="s">
        <v>466</v>
      </c>
      <c r="D64" s="2" t="s">
        <v>169</v>
      </c>
      <c r="E64" s="395">
        <v>46118.0</v>
      </c>
      <c r="F64" s="396">
        <v>46266.0</v>
      </c>
      <c r="G64" s="271">
        <v>8441493.0</v>
      </c>
      <c r="H64" s="271">
        <v>1000000.0</v>
      </c>
      <c r="I64" s="271">
        <v>1000000.0</v>
      </c>
      <c r="J64" s="271">
        <f t="shared" si="13"/>
        <v>10441493</v>
      </c>
      <c r="K64" s="245">
        <f t="shared" si="1"/>
        <v>10441493</v>
      </c>
      <c r="L64" s="397">
        <v>1.4</v>
      </c>
      <c r="M64" s="271">
        <f t="shared" si="14"/>
        <v>14618090.2</v>
      </c>
      <c r="N64" s="245" t="s">
        <v>362</v>
      </c>
      <c r="O64" s="271">
        <v>3.0E7</v>
      </c>
      <c r="P64" s="271">
        <f t="shared" si="10"/>
        <v>15381909.8</v>
      </c>
      <c r="Q64" s="398">
        <f t="shared" si="11"/>
        <v>1.052251668</v>
      </c>
      <c r="R64" s="399" t="str">
        <f t="shared" si="12"/>
        <v>Very High</v>
      </c>
    </row>
    <row r="65">
      <c r="A65" s="172" t="s">
        <v>10</v>
      </c>
      <c r="B65" s="189" t="s">
        <v>377</v>
      </c>
      <c r="C65" s="394" t="s">
        <v>466</v>
      </c>
      <c r="D65" s="2" t="s">
        <v>169</v>
      </c>
      <c r="E65" s="395">
        <v>46118.0</v>
      </c>
      <c r="F65" s="396">
        <v>46266.0</v>
      </c>
      <c r="G65" s="271">
        <v>5442000.0</v>
      </c>
      <c r="H65" s="271">
        <v>1000000.0</v>
      </c>
      <c r="I65" s="271">
        <v>1500000.0</v>
      </c>
      <c r="J65" s="271">
        <f t="shared" si="13"/>
        <v>7942000</v>
      </c>
      <c r="K65" s="245">
        <f t="shared" si="1"/>
        <v>7942000</v>
      </c>
      <c r="L65" s="397">
        <v>1.4</v>
      </c>
      <c r="M65" s="271">
        <f t="shared" si="14"/>
        <v>11118800</v>
      </c>
      <c r="N65" s="245" t="s">
        <v>362</v>
      </c>
      <c r="O65" s="271">
        <v>3.0E7</v>
      </c>
      <c r="P65" s="271">
        <f t="shared" si="10"/>
        <v>18881200</v>
      </c>
      <c r="Q65" s="398">
        <f t="shared" si="11"/>
        <v>1.698132892</v>
      </c>
      <c r="R65" s="399" t="str">
        <f t="shared" si="12"/>
        <v>Very High</v>
      </c>
    </row>
    <row r="66">
      <c r="A66" s="172" t="s">
        <v>10</v>
      </c>
      <c r="B66" s="157" t="s">
        <v>381</v>
      </c>
      <c r="C66" s="394" t="s">
        <v>466</v>
      </c>
      <c r="D66" s="2" t="s">
        <v>169</v>
      </c>
      <c r="E66" s="395">
        <v>46118.0</v>
      </c>
      <c r="F66" s="396">
        <v>46266.0</v>
      </c>
      <c r="G66" s="349">
        <v>7210000.0</v>
      </c>
      <c r="H66" s="271">
        <v>1000000.0</v>
      </c>
      <c r="I66" s="271">
        <v>2000000.0</v>
      </c>
      <c r="J66" s="271">
        <f t="shared" si="13"/>
        <v>10210000</v>
      </c>
      <c r="K66" s="245">
        <f t="shared" si="1"/>
        <v>10210000</v>
      </c>
      <c r="L66" s="397">
        <v>1.4</v>
      </c>
      <c r="M66" s="271">
        <f t="shared" si="14"/>
        <v>14294000</v>
      </c>
      <c r="N66" s="245" t="s">
        <v>362</v>
      </c>
      <c r="O66" s="271">
        <v>3.0E7</v>
      </c>
      <c r="P66" s="271">
        <f t="shared" si="10"/>
        <v>15706000</v>
      </c>
      <c r="Q66" s="398">
        <f t="shared" si="11"/>
        <v>1.098782706</v>
      </c>
      <c r="R66" s="399" t="str">
        <f t="shared" si="12"/>
        <v>Very High</v>
      </c>
    </row>
    <row r="67">
      <c r="A67" s="172" t="s">
        <v>10</v>
      </c>
      <c r="B67" s="400" t="s">
        <v>494</v>
      </c>
      <c r="C67" s="394" t="s">
        <v>483</v>
      </c>
      <c r="D67" s="223" t="s">
        <v>495</v>
      </c>
      <c r="E67" s="101" t="s">
        <v>496</v>
      </c>
      <c r="F67" s="402">
        <v>46449.0</v>
      </c>
      <c r="G67" s="271">
        <v>9500000.0</v>
      </c>
      <c r="H67" s="349">
        <v>1000000.0</v>
      </c>
      <c r="I67" s="349">
        <v>1000000.0</v>
      </c>
      <c r="J67" s="271">
        <f>G67+H67</f>
        <v>10500000</v>
      </c>
      <c r="K67" s="11"/>
      <c r="L67" s="397">
        <v>1.4</v>
      </c>
      <c r="M67" s="271">
        <f t="shared" si="14"/>
        <v>14700000</v>
      </c>
      <c r="N67" s="245" t="s">
        <v>362</v>
      </c>
      <c r="O67" s="271">
        <v>2.95E7</v>
      </c>
      <c r="P67" s="271">
        <f t="shared" si="10"/>
        <v>14800000</v>
      </c>
      <c r="Q67" s="398">
        <f t="shared" si="11"/>
        <v>1.006802721</v>
      </c>
      <c r="R67" s="399" t="str">
        <f t="shared" si="12"/>
        <v>Very High</v>
      </c>
    </row>
    <row r="68">
      <c r="A68" s="172" t="s">
        <v>10</v>
      </c>
      <c r="B68" s="59" t="s">
        <v>380</v>
      </c>
      <c r="C68" s="394" t="s">
        <v>483</v>
      </c>
      <c r="D68" s="2" t="s">
        <v>387</v>
      </c>
      <c r="E68" s="395">
        <v>46113.0</v>
      </c>
      <c r="F68" s="402">
        <v>46478.0</v>
      </c>
      <c r="G68" s="271">
        <v>1.075E7</v>
      </c>
      <c r="H68" s="271">
        <v>1000000.0</v>
      </c>
      <c r="I68" s="271">
        <v>4000000.0</v>
      </c>
      <c r="J68" s="271">
        <f t="shared" ref="J68:J69" si="15">G68+H68+I68</f>
        <v>15750000</v>
      </c>
      <c r="K68" s="271" t="s">
        <v>484</v>
      </c>
      <c r="L68" s="397">
        <v>1.4</v>
      </c>
      <c r="M68" s="271">
        <f t="shared" si="14"/>
        <v>22050000</v>
      </c>
      <c r="N68" s="245" t="s">
        <v>362</v>
      </c>
      <c r="O68" s="271">
        <v>3.2E7</v>
      </c>
      <c r="P68" s="271">
        <f t="shared" si="10"/>
        <v>9950000</v>
      </c>
      <c r="Q68" s="398">
        <f t="shared" si="11"/>
        <v>0.4512471655</v>
      </c>
      <c r="R68" s="399" t="str">
        <f t="shared" si="12"/>
        <v>Very High</v>
      </c>
    </row>
    <row r="69">
      <c r="A69" s="172" t="s">
        <v>10</v>
      </c>
      <c r="B69" s="53" t="s">
        <v>359</v>
      </c>
      <c r="C69" s="394" t="s">
        <v>487</v>
      </c>
      <c r="D69" s="33" t="s">
        <v>360</v>
      </c>
      <c r="E69" s="395">
        <v>46113.0</v>
      </c>
      <c r="F69" s="402">
        <v>46414.0</v>
      </c>
      <c r="G69" s="271">
        <v>1.075E7</v>
      </c>
      <c r="H69" s="271">
        <v>1000000.0</v>
      </c>
      <c r="I69" s="271">
        <v>4000000.0</v>
      </c>
      <c r="J69" s="271">
        <f t="shared" si="15"/>
        <v>15750000</v>
      </c>
      <c r="K69" s="271" t="s">
        <v>484</v>
      </c>
      <c r="L69" s="397">
        <v>1.4</v>
      </c>
      <c r="M69" s="271">
        <f t="shared" si="14"/>
        <v>22050000</v>
      </c>
      <c r="N69" s="245" t="s">
        <v>362</v>
      </c>
      <c r="O69" s="271">
        <v>3.2E7</v>
      </c>
      <c r="P69" s="271">
        <f t="shared" si="10"/>
        <v>9950000</v>
      </c>
      <c r="Q69" s="398">
        <f t="shared" si="11"/>
        <v>0.4512471655</v>
      </c>
      <c r="R69" s="399" t="str">
        <f t="shared" si="12"/>
        <v>Very High</v>
      </c>
    </row>
    <row r="70">
      <c r="A70" s="172" t="s">
        <v>10</v>
      </c>
      <c r="B70" s="403" t="s">
        <v>138</v>
      </c>
      <c r="C70" s="174" t="s">
        <v>331</v>
      </c>
      <c r="D70" s="183" t="s">
        <v>339</v>
      </c>
      <c r="E70" s="404" t="s">
        <v>479</v>
      </c>
      <c r="F70" s="199">
        <v>46199.0</v>
      </c>
      <c r="G70" s="296">
        <v>6500000.0</v>
      </c>
      <c r="H70" s="245"/>
      <c r="I70" s="247"/>
      <c r="J70" s="245"/>
      <c r="K70" s="245">
        <f t="shared" ref="K70:K76" si="16">G70+H70+I70</f>
        <v>6500000</v>
      </c>
      <c r="L70" s="253">
        <v>1.4</v>
      </c>
      <c r="M70" s="245">
        <f t="shared" ref="M70:M76" si="17">K70*L70</f>
        <v>9100000</v>
      </c>
      <c r="N70" s="245" t="s">
        <v>362</v>
      </c>
      <c r="O70" s="245">
        <v>2.2E7</v>
      </c>
      <c r="P70" s="245">
        <f t="shared" si="10"/>
        <v>12900000</v>
      </c>
      <c r="Q70" s="259">
        <f t="shared" si="11"/>
        <v>1.417582418</v>
      </c>
      <c r="R70" s="332" t="str">
        <f t="shared" si="12"/>
        <v>Very High</v>
      </c>
    </row>
    <row r="71" hidden="1">
      <c r="A71" s="172" t="s">
        <v>10</v>
      </c>
      <c r="B71" s="197" t="s">
        <v>125</v>
      </c>
      <c r="C71" s="174" t="s">
        <v>331</v>
      </c>
      <c r="D71" s="183" t="s">
        <v>126</v>
      </c>
      <c r="E71" s="405"/>
      <c r="F71" s="199" t="s">
        <v>292</v>
      </c>
      <c r="G71" s="265">
        <v>1.1986097E7</v>
      </c>
      <c r="H71" s="245">
        <v>1000000.0</v>
      </c>
      <c r="I71" s="247"/>
      <c r="J71" s="245"/>
      <c r="K71" s="245">
        <f t="shared" si="16"/>
        <v>12986097</v>
      </c>
      <c r="L71" s="253">
        <v>1.4</v>
      </c>
      <c r="M71" s="245">
        <f t="shared" si="17"/>
        <v>18180535.8</v>
      </c>
      <c r="N71" s="245" t="s">
        <v>362</v>
      </c>
      <c r="O71" s="245">
        <v>2.2E7</v>
      </c>
      <c r="P71" s="245">
        <f t="shared" si="10"/>
        <v>3819464.2</v>
      </c>
      <c r="Q71" s="259">
        <f t="shared" si="11"/>
        <v>0.2100853485</v>
      </c>
      <c r="R71" s="332" t="str">
        <f t="shared" si="12"/>
        <v>High</v>
      </c>
    </row>
    <row r="72">
      <c r="A72" s="172" t="s">
        <v>10</v>
      </c>
      <c r="B72" s="217" t="s">
        <v>129</v>
      </c>
      <c r="C72" s="174" t="s">
        <v>331</v>
      </c>
      <c r="D72" s="183" t="s">
        <v>131</v>
      </c>
      <c r="E72" s="405"/>
      <c r="F72" s="199" t="s">
        <v>292</v>
      </c>
      <c r="G72" s="265">
        <v>1.1986097E7</v>
      </c>
      <c r="H72" s="245">
        <v>1000000.0</v>
      </c>
      <c r="I72" s="247"/>
      <c r="J72" s="245" t="s">
        <v>491</v>
      </c>
      <c r="K72" s="245">
        <f t="shared" si="16"/>
        <v>12986097</v>
      </c>
      <c r="L72" s="253">
        <v>1.4</v>
      </c>
      <c r="M72" s="245">
        <f t="shared" si="17"/>
        <v>18180535.8</v>
      </c>
      <c r="N72" s="245" t="s">
        <v>362</v>
      </c>
      <c r="O72" s="245">
        <v>2.2E7</v>
      </c>
      <c r="P72" s="245">
        <f t="shared" si="10"/>
        <v>3819464.2</v>
      </c>
      <c r="Q72" s="259">
        <f t="shared" si="11"/>
        <v>0.2100853485</v>
      </c>
      <c r="R72" s="332" t="str">
        <f t="shared" si="12"/>
        <v>High</v>
      </c>
      <c r="S72" s="203"/>
      <c r="T72" s="203"/>
      <c r="U72" s="203"/>
    </row>
    <row r="73">
      <c r="A73" s="172" t="s">
        <v>10</v>
      </c>
      <c r="B73" s="197" t="s">
        <v>334</v>
      </c>
      <c r="C73" s="174" t="s">
        <v>331</v>
      </c>
      <c r="D73" s="183" t="s">
        <v>126</v>
      </c>
      <c r="E73" s="405"/>
      <c r="F73" s="199" t="s">
        <v>292</v>
      </c>
      <c r="G73" s="265">
        <v>1.1986097E7</v>
      </c>
      <c r="H73" s="245">
        <v>1000000.0</v>
      </c>
      <c r="I73" s="247"/>
      <c r="J73" s="245"/>
      <c r="K73" s="245">
        <f t="shared" si="16"/>
        <v>12986097</v>
      </c>
      <c r="L73" s="253">
        <v>1.4</v>
      </c>
      <c r="M73" s="245">
        <f t="shared" si="17"/>
        <v>18180535.8</v>
      </c>
      <c r="N73" s="245" t="s">
        <v>362</v>
      </c>
      <c r="O73" s="245">
        <v>2.2E7</v>
      </c>
      <c r="P73" s="245">
        <f t="shared" si="10"/>
        <v>3819464.2</v>
      </c>
      <c r="Q73" s="259">
        <f t="shared" si="11"/>
        <v>0.2100853485</v>
      </c>
      <c r="R73" s="332" t="str">
        <f t="shared" si="12"/>
        <v>High</v>
      </c>
    </row>
    <row r="74">
      <c r="A74" s="172" t="s">
        <v>10</v>
      </c>
      <c r="B74" s="217" t="s">
        <v>129</v>
      </c>
      <c r="C74" s="174" t="s">
        <v>331</v>
      </c>
      <c r="D74" s="183" t="s">
        <v>131</v>
      </c>
      <c r="E74" s="405"/>
      <c r="F74" s="199" t="s">
        <v>292</v>
      </c>
      <c r="G74" s="265">
        <v>1.1986097E7</v>
      </c>
      <c r="H74" s="245">
        <v>1000000.0</v>
      </c>
      <c r="I74" s="247"/>
      <c r="J74" s="245"/>
      <c r="K74" s="245">
        <f t="shared" si="16"/>
        <v>12986097</v>
      </c>
      <c r="L74" s="253">
        <v>1.4</v>
      </c>
      <c r="M74" s="245">
        <f t="shared" si="17"/>
        <v>18180535.8</v>
      </c>
      <c r="N74" s="245" t="s">
        <v>362</v>
      </c>
      <c r="O74" s="245">
        <v>2.2E7</v>
      </c>
      <c r="P74" s="245">
        <f t="shared" si="10"/>
        <v>3819464.2</v>
      </c>
      <c r="Q74" s="259">
        <f t="shared" si="11"/>
        <v>0.2100853485</v>
      </c>
      <c r="R74" s="332" t="str">
        <f t="shared" si="12"/>
        <v>High</v>
      </c>
    </row>
    <row r="75">
      <c r="A75" s="172" t="s">
        <v>10</v>
      </c>
      <c r="B75" s="197" t="s">
        <v>135</v>
      </c>
      <c r="C75" s="174" t="s">
        <v>331</v>
      </c>
      <c r="D75" s="183" t="s">
        <v>131</v>
      </c>
      <c r="E75" s="405"/>
      <c r="F75" s="199"/>
      <c r="G75" s="296">
        <v>9482748.0</v>
      </c>
      <c r="H75" s="245">
        <v>1000000.0</v>
      </c>
      <c r="I75" s="247"/>
      <c r="J75" s="245"/>
      <c r="K75" s="245">
        <f t="shared" si="16"/>
        <v>10482748</v>
      </c>
      <c r="L75" s="253">
        <v>1.4</v>
      </c>
      <c r="M75" s="245">
        <f t="shared" si="17"/>
        <v>14675847.2</v>
      </c>
      <c r="N75" s="245" t="s">
        <v>362</v>
      </c>
      <c r="O75" s="245">
        <v>2.2E7</v>
      </c>
      <c r="P75" s="245">
        <f t="shared" si="10"/>
        <v>7324152.8</v>
      </c>
      <c r="Q75" s="259">
        <f t="shared" si="11"/>
        <v>0.4990616692</v>
      </c>
      <c r="R75" s="332" t="str">
        <f t="shared" si="12"/>
        <v>Very High</v>
      </c>
    </row>
    <row r="76">
      <c r="A76" s="172" t="s">
        <v>10</v>
      </c>
      <c r="B76" s="197" t="s">
        <v>395</v>
      </c>
      <c r="C76" s="174" t="s">
        <v>331</v>
      </c>
      <c r="D76" s="183" t="s">
        <v>338</v>
      </c>
      <c r="E76" s="405"/>
      <c r="F76" s="199"/>
      <c r="G76" s="265">
        <v>1.1986097E7</v>
      </c>
      <c r="H76" s="245">
        <v>1000000.0</v>
      </c>
      <c r="I76" s="247"/>
      <c r="J76" s="245"/>
      <c r="K76" s="245">
        <f t="shared" si="16"/>
        <v>12986097</v>
      </c>
      <c r="L76" s="253">
        <v>1.4</v>
      </c>
      <c r="M76" s="245">
        <f t="shared" si="17"/>
        <v>18180535.8</v>
      </c>
      <c r="N76" s="245" t="s">
        <v>362</v>
      </c>
      <c r="O76" s="245">
        <v>2.2E7</v>
      </c>
      <c r="P76" s="245">
        <f t="shared" si="10"/>
        <v>3819464.2</v>
      </c>
      <c r="Q76" s="259">
        <f t="shared" si="11"/>
        <v>0.2100853485</v>
      </c>
      <c r="R76" s="332" t="str">
        <f t="shared" si="12"/>
        <v>High</v>
      </c>
    </row>
    <row r="78">
      <c r="B78" s="70" t="s">
        <v>428</v>
      </c>
      <c r="G78" s="392">
        <v>1.29366E7</v>
      </c>
      <c r="H78" s="393"/>
    </row>
    <row r="79">
      <c r="B79" s="70" t="s">
        <v>400</v>
      </c>
      <c r="G79" s="392">
        <v>1.1851099E7</v>
      </c>
      <c r="H79" s="392"/>
      <c r="I79" s="392">
        <v>2000000.0</v>
      </c>
    </row>
    <row r="80">
      <c r="B80" s="70" t="s">
        <v>429</v>
      </c>
      <c r="G80" s="392">
        <v>5442000.0</v>
      </c>
      <c r="H80" s="393"/>
    </row>
    <row r="81">
      <c r="B81" s="70" t="s">
        <v>430</v>
      </c>
      <c r="G81" s="392">
        <v>6792538.0</v>
      </c>
      <c r="H81" s="393"/>
    </row>
    <row r="82">
      <c r="B82" s="70" t="s">
        <v>431</v>
      </c>
      <c r="G82" s="392">
        <v>7859008.0</v>
      </c>
      <c r="H82" s="393"/>
    </row>
    <row r="83">
      <c r="B83" s="70" t="s">
        <v>432</v>
      </c>
      <c r="G83" s="392">
        <v>9482748.0</v>
      </c>
      <c r="H83" s="393"/>
    </row>
    <row r="84">
      <c r="B84" s="2" t="s">
        <v>433</v>
      </c>
      <c r="G84" s="2" t="s">
        <v>492</v>
      </c>
    </row>
  </sheetData>
  <autoFilter ref="$A$1:$U$76">
    <sortState ref="A1:U76">
      <sortCondition ref="C1:C76"/>
      <sortCondition ref="F1:F76"/>
    </sortState>
  </autoFil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4.25"/>
    <col customWidth="1" min="2" max="2" width="25.75"/>
    <col customWidth="1" min="3" max="3" width="17.25"/>
    <col customWidth="1" min="4" max="4" width="33.25"/>
  </cols>
  <sheetData>
    <row r="1">
      <c r="A1" s="276" t="s">
        <v>238</v>
      </c>
      <c r="B1" s="279" t="s">
        <v>239</v>
      </c>
      <c r="C1" s="276" t="s">
        <v>2</v>
      </c>
      <c r="D1" s="279" t="s">
        <v>375</v>
      </c>
    </row>
    <row r="2">
      <c r="A2" s="282" t="s">
        <v>119</v>
      </c>
      <c r="B2" s="283" t="s">
        <v>219</v>
      </c>
      <c r="C2" s="288" t="s">
        <v>10</v>
      </c>
      <c r="D2" s="283" t="s">
        <v>15</v>
      </c>
    </row>
    <row r="3">
      <c r="A3" s="289" t="s">
        <v>76</v>
      </c>
      <c r="B3" s="283" t="s">
        <v>378</v>
      </c>
      <c r="C3" s="283" t="s">
        <v>10</v>
      </c>
      <c r="D3" s="283" t="s">
        <v>15</v>
      </c>
    </row>
    <row r="4">
      <c r="A4" s="290" t="s">
        <v>341</v>
      </c>
      <c r="B4" s="283" t="s">
        <v>378</v>
      </c>
      <c r="C4" s="288" t="s">
        <v>10</v>
      </c>
      <c r="D4" s="283" t="s">
        <v>15</v>
      </c>
    </row>
    <row r="5">
      <c r="A5" s="290" t="s">
        <v>355</v>
      </c>
      <c r="B5" s="283" t="s">
        <v>378</v>
      </c>
      <c r="C5" s="288" t="s">
        <v>10</v>
      </c>
      <c r="D5" s="283" t="s">
        <v>15</v>
      </c>
    </row>
    <row r="6">
      <c r="A6" s="292" t="s">
        <v>359</v>
      </c>
      <c r="B6" s="293" t="s">
        <v>358</v>
      </c>
      <c r="C6" s="288" t="s">
        <v>10</v>
      </c>
      <c r="D6" s="283" t="s">
        <v>15</v>
      </c>
    </row>
    <row r="7">
      <c r="A7" s="289" t="s">
        <v>363</v>
      </c>
      <c r="B7" s="293" t="s">
        <v>358</v>
      </c>
      <c r="C7" s="288" t="s">
        <v>10</v>
      </c>
      <c r="D7" s="283" t="s">
        <v>15</v>
      </c>
    </row>
    <row r="8">
      <c r="A8" s="292" t="s">
        <v>156</v>
      </c>
      <c r="B8" s="293" t="s">
        <v>372</v>
      </c>
      <c r="C8" s="288" t="s">
        <v>10</v>
      </c>
      <c r="D8" s="283" t="s">
        <v>15</v>
      </c>
    </row>
    <row r="9">
      <c r="A9" s="292" t="s">
        <v>347</v>
      </c>
      <c r="B9" s="293" t="s">
        <v>372</v>
      </c>
      <c r="C9" s="288" t="s">
        <v>10</v>
      </c>
      <c r="D9" s="283" t="s">
        <v>15</v>
      </c>
    </row>
    <row r="10">
      <c r="A10" s="292" t="s">
        <v>163</v>
      </c>
      <c r="B10" s="293" t="s">
        <v>372</v>
      </c>
      <c r="C10" s="288" t="s">
        <v>10</v>
      </c>
      <c r="D10" s="283" t="s">
        <v>15</v>
      </c>
    </row>
    <row r="11">
      <c r="A11" s="292" t="s">
        <v>164</v>
      </c>
      <c r="B11" s="293" t="s">
        <v>372</v>
      </c>
      <c r="C11" s="288" t="s">
        <v>10</v>
      </c>
      <c r="D11" s="283" t="s">
        <v>15</v>
      </c>
    </row>
    <row r="12">
      <c r="A12" s="292" t="s">
        <v>353</v>
      </c>
      <c r="B12" s="293" t="s">
        <v>372</v>
      </c>
      <c r="C12" s="288" t="s">
        <v>10</v>
      </c>
      <c r="D12" s="283" t="s">
        <v>15</v>
      </c>
    </row>
    <row r="13">
      <c r="A13" s="292" t="s">
        <v>354</v>
      </c>
      <c r="B13" s="293" t="s">
        <v>372</v>
      </c>
      <c r="C13" s="288" t="s">
        <v>10</v>
      </c>
      <c r="D13" s="283" t="s">
        <v>15</v>
      </c>
    </row>
    <row r="14">
      <c r="A14" s="295" t="s">
        <v>379</v>
      </c>
      <c r="B14" s="293" t="s">
        <v>372</v>
      </c>
      <c r="C14" s="288" t="s">
        <v>10</v>
      </c>
      <c r="D14" s="283" t="s">
        <v>15</v>
      </c>
    </row>
    <row r="15">
      <c r="A15" s="292" t="s">
        <v>152</v>
      </c>
      <c r="B15" s="293" t="s">
        <v>372</v>
      </c>
      <c r="C15" s="288" t="s">
        <v>10</v>
      </c>
      <c r="D15" s="283" t="s">
        <v>15</v>
      </c>
    </row>
    <row r="16">
      <c r="A16" s="295" t="s">
        <v>380</v>
      </c>
      <c r="B16" s="293" t="s">
        <v>382</v>
      </c>
      <c r="C16" s="288" t="s">
        <v>10</v>
      </c>
      <c r="D16" s="283" t="s">
        <v>15</v>
      </c>
    </row>
    <row r="17">
      <c r="A17" s="208" t="s">
        <v>80</v>
      </c>
      <c r="B17" s="168" t="s">
        <v>383</v>
      </c>
      <c r="C17" s="165" t="s">
        <v>10</v>
      </c>
      <c r="D17" s="298" t="s">
        <v>10</v>
      </c>
    </row>
    <row r="18">
      <c r="A18" s="289" t="s">
        <v>65</v>
      </c>
      <c r="B18" s="283" t="s">
        <v>384</v>
      </c>
      <c r="C18" s="288" t="s">
        <v>10</v>
      </c>
      <c r="D18" s="283" t="s">
        <v>385</v>
      </c>
    </row>
    <row r="19">
      <c r="A19" s="289" t="s">
        <v>56</v>
      </c>
      <c r="B19" s="283" t="s">
        <v>384</v>
      </c>
      <c r="C19" s="288" t="s">
        <v>10</v>
      </c>
      <c r="D19" s="283" t="s">
        <v>385</v>
      </c>
    </row>
    <row r="20">
      <c r="A20" s="290" t="s">
        <v>386</v>
      </c>
      <c r="B20" s="283" t="s">
        <v>384</v>
      </c>
      <c r="C20" s="288" t="s">
        <v>10</v>
      </c>
      <c r="D20" s="283" t="s">
        <v>385</v>
      </c>
    </row>
    <row r="21">
      <c r="A21" s="289" t="s">
        <v>67</v>
      </c>
      <c r="B21" s="283" t="s">
        <v>384</v>
      </c>
      <c r="C21" s="288" t="s">
        <v>10</v>
      </c>
      <c r="D21" s="283" t="s">
        <v>385</v>
      </c>
    </row>
    <row r="22">
      <c r="A22" s="289" t="s">
        <v>62</v>
      </c>
      <c r="B22" s="283" t="s">
        <v>384</v>
      </c>
      <c r="C22" s="288" t="s">
        <v>10</v>
      </c>
      <c r="D22" s="283" t="s">
        <v>385</v>
      </c>
    </row>
    <row r="23">
      <c r="A23" s="289" t="s">
        <v>64</v>
      </c>
      <c r="B23" s="283" t="s">
        <v>384</v>
      </c>
      <c r="C23" s="288" t="s">
        <v>10</v>
      </c>
      <c r="D23" s="283" t="s">
        <v>385</v>
      </c>
    </row>
    <row r="24">
      <c r="A24" s="289" t="s">
        <v>325</v>
      </c>
      <c r="B24" s="283" t="s">
        <v>384</v>
      </c>
      <c r="C24" s="288" t="s">
        <v>10</v>
      </c>
      <c r="D24" s="283" t="s">
        <v>385</v>
      </c>
    </row>
    <row r="25">
      <c r="A25" s="289" t="s">
        <v>60</v>
      </c>
      <c r="B25" s="283" t="s">
        <v>384</v>
      </c>
      <c r="C25" s="288" t="s">
        <v>10</v>
      </c>
      <c r="D25" s="283" t="s">
        <v>385</v>
      </c>
    </row>
    <row r="26">
      <c r="A26" s="289" t="s">
        <v>61</v>
      </c>
      <c r="B26" s="283" t="s">
        <v>384</v>
      </c>
      <c r="C26" s="288" t="s">
        <v>10</v>
      </c>
      <c r="D26" s="283" t="s">
        <v>385</v>
      </c>
    </row>
    <row r="27">
      <c r="A27" s="290" t="s">
        <v>388</v>
      </c>
      <c r="B27" s="283" t="s">
        <v>384</v>
      </c>
      <c r="C27" s="288" t="s">
        <v>10</v>
      </c>
      <c r="D27" s="283" t="s">
        <v>385</v>
      </c>
    </row>
    <row r="28">
      <c r="A28" s="290" t="s">
        <v>174</v>
      </c>
      <c r="B28" s="283" t="s">
        <v>384</v>
      </c>
      <c r="C28" s="288" t="s">
        <v>10</v>
      </c>
      <c r="D28" s="283" t="s">
        <v>385</v>
      </c>
    </row>
    <row r="29">
      <c r="A29" s="290" t="s">
        <v>389</v>
      </c>
      <c r="B29" s="283" t="s">
        <v>384</v>
      </c>
      <c r="C29" s="288" t="s">
        <v>10</v>
      </c>
      <c r="D29" s="283" t="s">
        <v>385</v>
      </c>
    </row>
    <row r="30">
      <c r="A30" s="305" t="s">
        <v>390</v>
      </c>
      <c r="B30" s="165" t="s">
        <v>304</v>
      </c>
      <c r="C30" s="168" t="s">
        <v>10</v>
      </c>
      <c r="D30" s="168" t="s">
        <v>10</v>
      </c>
    </row>
    <row r="31">
      <c r="A31" s="208" t="s">
        <v>87</v>
      </c>
      <c r="B31" s="165" t="s">
        <v>304</v>
      </c>
      <c r="C31" s="165" t="s">
        <v>10</v>
      </c>
      <c r="D31" s="165" t="s">
        <v>10</v>
      </c>
    </row>
    <row r="32">
      <c r="A32" s="290" t="s">
        <v>138</v>
      </c>
      <c r="B32" s="283" t="s">
        <v>331</v>
      </c>
      <c r="C32" s="288" t="s">
        <v>10</v>
      </c>
      <c r="D32" s="283" t="s">
        <v>15</v>
      </c>
    </row>
    <row r="33">
      <c r="A33" s="289" t="s">
        <v>391</v>
      </c>
      <c r="B33" s="283" t="s">
        <v>331</v>
      </c>
      <c r="C33" s="288" t="s">
        <v>10</v>
      </c>
      <c r="D33" s="283" t="s">
        <v>394</v>
      </c>
    </row>
    <row r="34">
      <c r="A34" s="167" t="s">
        <v>395</v>
      </c>
      <c r="B34" s="168" t="s">
        <v>331</v>
      </c>
      <c r="C34" s="165" t="s">
        <v>10</v>
      </c>
      <c r="D34" s="168" t="s">
        <v>10</v>
      </c>
    </row>
    <row r="35">
      <c r="A35" s="309" t="s">
        <v>396</v>
      </c>
      <c r="B35" s="310" t="s">
        <v>397</v>
      </c>
      <c r="C35" s="310" t="s">
        <v>10</v>
      </c>
      <c r="D35" s="311"/>
    </row>
    <row r="36">
      <c r="A36" s="312" t="s">
        <v>398</v>
      </c>
      <c r="B36" s="314" t="s">
        <v>331</v>
      </c>
      <c r="C36" s="314" t="s">
        <v>10</v>
      </c>
      <c r="D36" s="314" t="s">
        <v>399</v>
      </c>
    </row>
    <row r="37">
      <c r="A37" s="312" t="s">
        <v>400</v>
      </c>
      <c r="B37" s="314" t="s">
        <v>331</v>
      </c>
      <c r="C37" s="314" t="s">
        <v>10</v>
      </c>
      <c r="D37" s="314" t="s">
        <v>399</v>
      </c>
    </row>
    <row r="38">
      <c r="A38" s="317" t="s">
        <v>401</v>
      </c>
      <c r="B38" s="314" t="s">
        <v>297</v>
      </c>
      <c r="C38" s="314" t="s">
        <v>10</v>
      </c>
      <c r="D38" s="314" t="s">
        <v>403</v>
      </c>
    </row>
    <row r="39">
      <c r="A39" s="317" t="s">
        <v>404</v>
      </c>
      <c r="B39" s="314" t="s">
        <v>297</v>
      </c>
      <c r="C39" s="314" t="s">
        <v>10</v>
      </c>
      <c r="D39" s="314" t="s">
        <v>403</v>
      </c>
    </row>
    <row r="40">
      <c r="A40" s="317" t="s">
        <v>405</v>
      </c>
      <c r="B40" s="314" t="s">
        <v>297</v>
      </c>
      <c r="C40" s="314" t="s">
        <v>10</v>
      </c>
      <c r="D40" s="314" t="s">
        <v>403</v>
      </c>
    </row>
    <row r="41">
      <c r="A41" s="317" t="s">
        <v>406</v>
      </c>
      <c r="B41" s="314" t="s">
        <v>331</v>
      </c>
      <c r="C41" s="314" t="s">
        <v>10</v>
      </c>
      <c r="D41" s="314" t="s">
        <v>399</v>
      </c>
    </row>
    <row r="42" ht="16.5" customHeight="1">
      <c r="A42" s="318" t="s">
        <v>407</v>
      </c>
      <c r="B42" s="314" t="s">
        <v>408</v>
      </c>
      <c r="C42" s="318" t="s">
        <v>10</v>
      </c>
      <c r="D42" s="312" t="s">
        <v>399</v>
      </c>
    </row>
    <row r="43">
      <c r="A43" s="318" t="s">
        <v>232</v>
      </c>
      <c r="B43" s="314" t="s">
        <v>408</v>
      </c>
      <c r="C43" s="318" t="s">
        <v>10</v>
      </c>
      <c r="D43" s="312" t="s">
        <v>399</v>
      </c>
    </row>
    <row r="44">
      <c r="A44" s="318" t="s">
        <v>409</v>
      </c>
      <c r="B44" s="314" t="s">
        <v>408</v>
      </c>
      <c r="C44" s="318" t="s">
        <v>10</v>
      </c>
      <c r="D44" s="312" t="s">
        <v>410</v>
      </c>
    </row>
    <row r="45">
      <c r="A45" s="289" t="s">
        <v>31</v>
      </c>
      <c r="B45" s="283" t="s">
        <v>13</v>
      </c>
      <c r="C45" s="288" t="s">
        <v>15</v>
      </c>
      <c r="D45" s="283" t="s">
        <v>10</v>
      </c>
    </row>
    <row r="46">
      <c r="A46" s="208" t="s">
        <v>284</v>
      </c>
      <c r="B46" s="168" t="s">
        <v>219</v>
      </c>
      <c r="C46" s="165" t="s">
        <v>15</v>
      </c>
      <c r="D46" s="168" t="s">
        <v>15</v>
      </c>
    </row>
    <row r="47">
      <c r="A47" s="208" t="s">
        <v>276</v>
      </c>
      <c r="B47" s="168" t="s">
        <v>378</v>
      </c>
      <c r="C47" s="165" t="s">
        <v>15</v>
      </c>
      <c r="D47" s="168" t="s">
        <v>15</v>
      </c>
    </row>
    <row r="48">
      <c r="A48" s="167" t="s">
        <v>75</v>
      </c>
      <c r="B48" s="168" t="s">
        <v>378</v>
      </c>
      <c r="C48" s="165" t="s">
        <v>15</v>
      </c>
      <c r="D48" s="168" t="s">
        <v>15</v>
      </c>
    </row>
    <row r="49">
      <c r="A49" s="208" t="s">
        <v>290</v>
      </c>
      <c r="B49" s="168" t="s">
        <v>378</v>
      </c>
      <c r="C49" s="165" t="s">
        <v>15</v>
      </c>
      <c r="D49" s="168" t="s">
        <v>15</v>
      </c>
    </row>
    <row r="50">
      <c r="A50" s="167" t="s">
        <v>357</v>
      </c>
      <c r="B50" s="322" t="s">
        <v>358</v>
      </c>
      <c r="C50" s="165" t="s">
        <v>15</v>
      </c>
      <c r="D50" s="168" t="s">
        <v>15</v>
      </c>
    </row>
    <row r="51">
      <c r="A51" s="237" t="s">
        <v>373</v>
      </c>
      <c r="B51" s="322" t="s">
        <v>372</v>
      </c>
      <c r="C51" s="168" t="s">
        <v>15</v>
      </c>
      <c r="D51" s="168" t="s">
        <v>15</v>
      </c>
    </row>
    <row r="52">
      <c r="A52" s="237" t="s">
        <v>381</v>
      </c>
      <c r="B52" s="322" t="s">
        <v>382</v>
      </c>
      <c r="C52" s="168" t="s">
        <v>15</v>
      </c>
      <c r="D52" s="168" t="s">
        <v>15</v>
      </c>
    </row>
    <row r="53">
      <c r="A53" s="167" t="s">
        <v>78</v>
      </c>
      <c r="B53" s="165" t="s">
        <v>282</v>
      </c>
      <c r="C53" s="168" t="s">
        <v>15</v>
      </c>
      <c r="D53" s="168" t="s">
        <v>15</v>
      </c>
    </row>
    <row r="54">
      <c r="A54" s="208" t="s">
        <v>107</v>
      </c>
      <c r="B54" s="168" t="s">
        <v>331</v>
      </c>
      <c r="C54" s="165" t="s">
        <v>15</v>
      </c>
      <c r="D54" s="168" t="s">
        <v>399</v>
      </c>
    </row>
    <row r="55">
      <c r="A55" s="208" t="s">
        <v>129</v>
      </c>
      <c r="B55" s="168" t="s">
        <v>331</v>
      </c>
      <c r="C55" s="168" t="s">
        <v>15</v>
      </c>
      <c r="D55" s="168" t="s">
        <v>15</v>
      </c>
    </row>
    <row r="56">
      <c r="A56" s="167" t="s">
        <v>334</v>
      </c>
      <c r="B56" s="168" t="s">
        <v>331</v>
      </c>
      <c r="C56" s="168" t="s">
        <v>15</v>
      </c>
      <c r="D56" s="168" t="s">
        <v>15</v>
      </c>
    </row>
    <row r="57">
      <c r="A57" s="208" t="s">
        <v>129</v>
      </c>
      <c r="B57" s="168" t="s">
        <v>331</v>
      </c>
      <c r="C57" s="168" t="s">
        <v>15</v>
      </c>
      <c r="D57" s="168" t="s">
        <v>15</v>
      </c>
    </row>
    <row r="58">
      <c r="A58" s="167" t="s">
        <v>135</v>
      </c>
      <c r="B58" s="168" t="s">
        <v>331</v>
      </c>
      <c r="C58" s="168" t="s">
        <v>15</v>
      </c>
      <c r="D58" s="168" t="s">
        <v>15</v>
      </c>
    </row>
    <row r="59">
      <c r="A59" s="327" t="s">
        <v>414</v>
      </c>
      <c r="B59" s="322" t="s">
        <v>358</v>
      </c>
      <c r="C59" s="310" t="s">
        <v>15</v>
      </c>
      <c r="D59" s="310" t="s">
        <v>403</v>
      </c>
    </row>
    <row r="60">
      <c r="A60" s="329" t="s">
        <v>415</v>
      </c>
      <c r="B60" s="310" t="s">
        <v>408</v>
      </c>
      <c r="C60" s="329" t="s">
        <v>15</v>
      </c>
      <c r="D60" s="309" t="s">
        <v>410</v>
      </c>
    </row>
    <row r="61">
      <c r="A61" s="329" t="s">
        <v>417</v>
      </c>
      <c r="B61" s="331" t="s">
        <v>418</v>
      </c>
      <c r="C61" s="329" t="s">
        <v>15</v>
      </c>
      <c r="D61" s="309" t="s">
        <v>410</v>
      </c>
    </row>
    <row r="62">
      <c r="A62" s="329" t="s">
        <v>420</v>
      </c>
      <c r="B62" s="331" t="s">
        <v>331</v>
      </c>
      <c r="C62" s="329" t="s">
        <v>15</v>
      </c>
      <c r="D62" s="309" t="s">
        <v>410</v>
      </c>
    </row>
    <row r="63">
      <c r="A63" s="329" t="s">
        <v>421</v>
      </c>
      <c r="B63" s="310" t="s">
        <v>408</v>
      </c>
      <c r="C63" s="329" t="s">
        <v>15</v>
      </c>
      <c r="D63" s="309" t="s">
        <v>410</v>
      </c>
    </row>
    <row r="64">
      <c r="A64" s="329" t="s">
        <v>423</v>
      </c>
      <c r="B64" s="331" t="s">
        <v>331</v>
      </c>
      <c r="C64" s="329" t="s">
        <v>15</v>
      </c>
      <c r="D64" s="309" t="s">
        <v>410</v>
      </c>
    </row>
    <row r="65">
      <c r="A65" s="329" t="s">
        <v>424</v>
      </c>
      <c r="B65" s="310" t="s">
        <v>408</v>
      </c>
      <c r="C65" s="329" t="s">
        <v>15</v>
      </c>
      <c r="D65" s="309" t="s">
        <v>410</v>
      </c>
    </row>
    <row r="66">
      <c r="A66" s="329" t="s">
        <v>425</v>
      </c>
      <c r="B66" s="331" t="s">
        <v>331</v>
      </c>
      <c r="C66" s="329" t="s">
        <v>15</v>
      </c>
      <c r="D66" s="309" t="s">
        <v>410</v>
      </c>
    </row>
    <row r="67">
      <c r="A67" s="329" t="s">
        <v>426</v>
      </c>
      <c r="B67" s="310" t="s">
        <v>408</v>
      </c>
      <c r="C67" s="329" t="s">
        <v>15</v>
      </c>
      <c r="D67" s="309" t="s">
        <v>410</v>
      </c>
    </row>
    <row r="68">
      <c r="A68" s="329" t="s">
        <v>427</v>
      </c>
      <c r="B68" s="331" t="s">
        <v>331</v>
      </c>
      <c r="C68" s="329" t="s">
        <v>15</v>
      </c>
      <c r="D68" s="309" t="s">
        <v>410</v>
      </c>
    </row>
    <row r="69">
      <c r="A69" s="208" t="s">
        <v>326</v>
      </c>
      <c r="B69" s="168" t="s">
        <v>384</v>
      </c>
      <c r="C69" s="168" t="s">
        <v>385</v>
      </c>
      <c r="D69" s="168" t="s">
        <v>385</v>
      </c>
    </row>
    <row r="70">
      <c r="A70" s="208" t="s">
        <v>66</v>
      </c>
      <c r="B70" s="168" t="s">
        <v>384</v>
      </c>
      <c r="C70" s="168" t="s">
        <v>385</v>
      </c>
      <c r="D70" s="168" t="s">
        <v>385</v>
      </c>
    </row>
    <row r="82">
      <c r="A82" s="70" t="s">
        <v>428</v>
      </c>
    </row>
    <row r="83">
      <c r="A83" s="70" t="s">
        <v>400</v>
      </c>
    </row>
    <row r="84">
      <c r="A84" s="70" t="s">
        <v>429</v>
      </c>
    </row>
    <row r="85">
      <c r="A85" s="70" t="s">
        <v>430</v>
      </c>
    </row>
    <row r="86">
      <c r="A86" s="70" t="s">
        <v>431</v>
      </c>
    </row>
    <row r="87">
      <c r="A87" s="70" t="s">
        <v>432</v>
      </c>
    </row>
    <row r="88">
      <c r="A88" s="2" t="s">
        <v>433</v>
      </c>
    </row>
  </sheetData>
  <autoFilter ref="$A$1:$D$70">
    <sortState ref="A1:D70">
      <sortCondition ref="C1:C70"/>
      <sortCondition ref="B1:B70"/>
    </sortState>
  </autoFilter>
  <dataValidations>
    <dataValidation type="list" allowBlank="1" showErrorMessage="1" sqref="C2:C70">
      <formula1>"GS,AIGEN,NFT"</formula1>
    </dataValidation>
  </dataValidations>
  <drawing r:id="rId1"/>
</worksheet>
</file>